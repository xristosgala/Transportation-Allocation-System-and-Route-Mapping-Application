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ris the Great\Downloads\"/>
    </mc:Choice>
  </mc:AlternateContent>
  <xr:revisionPtr revIDLastSave="0" documentId="13_ncr:1_{9C2E6C93-65C9-4A33-B4F5-DEBA8E03F41C}" xr6:coauthVersionLast="47" xr6:coauthVersionMax="47" xr10:uidLastSave="{00000000-0000-0000-0000-000000000000}"/>
  <bookViews>
    <workbookView xWindow="-108" yWindow="-108" windowWidth="23256" windowHeight="12576" xr2:uid="{F7EE9CC3-9B8F-4484-A0AD-C942F204C971}"/>
  </bookViews>
  <sheets>
    <sheet name="Application" sheetId="5" r:id="rId1"/>
    <sheet name="Model" sheetId="4" r:id="rId2"/>
    <sheet name="Datasets" sheetId="3" r:id="rId3"/>
    <sheet name="Extra Information" sheetId="6" r:id="rId4"/>
  </sheets>
  <functionGroups builtInGroupCount="19"/>
  <externalReferences>
    <externalReference r:id="rId5"/>
    <externalReference r:id="rId6"/>
  </externalReferences>
  <definedNames>
    <definedName name="_xlcn.WorksheetConnection_ApplicationK1P664" hidden="1">Application!$K$1:$P$664</definedName>
    <definedName name="_xlcn.WorksheetConnection_ApplicationK1Q664" hidden="1">Application!$K$1:$Q$664</definedName>
    <definedName name="_xlcn.WorksheetConnection_Sheet1A12B42" hidden="1">[1]Sheet1!$A$12:$A$42</definedName>
    <definedName name="_xlcn.WorksheetConnection_Sheet1A12C42" hidden="1">[1]Sheet1!$A$12:$C$42</definedName>
    <definedName name="_xlcn.WorksheetConnection_Sheet1A1B3" hidden="1">[1]Sheet1!$A$1:$B$3</definedName>
    <definedName name="_xlcn.WorksheetConnection_Sheet1A1C6" hidden="1">[1]Sheet1!$A$1:$C$6</definedName>
    <definedName name="_xlcn.WorksheetConnection_Sheet3D7E27" hidden="1">[2]Sheet3!$D$7:$E$27</definedName>
    <definedName name="_xleta.IF" hidden="1" xlm="1">#NAME?</definedName>
    <definedName name="_xleta.MID" hidden="1" xlm="1">#NAME?</definedName>
    <definedName name="ExternalData_1" localSheetId="2">Datasets!$E$1:$H$4</definedName>
    <definedName name="ExternalData_10" localSheetId="2">Datasets!$E$1:$H$4</definedName>
    <definedName name="ExternalData_11" localSheetId="2">Datasets!$I$1:$K$3</definedName>
    <definedName name="ExternalData_12" localSheetId="2">Datasets!$L$1:$N$3</definedName>
    <definedName name="ExternalData_13" localSheetId="2">Datasets!$A$2:$D$4</definedName>
    <definedName name="ExternalData_14" localSheetId="2">Datasets!$A$1:$D$3</definedName>
    <definedName name="ExternalData_15" localSheetId="2">Datasets!$E$1:$H$4</definedName>
    <definedName name="ExternalData_16" localSheetId="2">Datasets!$A$1:$D$3</definedName>
    <definedName name="ExternalData_17" localSheetId="2">Datasets!$E$1:$H$4</definedName>
    <definedName name="ExternalData_18" localSheetId="2">Datasets!$I$1:$K$3</definedName>
    <definedName name="ExternalData_19" localSheetId="2">Datasets!$L$1:$N$3</definedName>
    <definedName name="ExternalData_2" localSheetId="2">Datasets!$I$1:$K$3</definedName>
    <definedName name="ExternalData_20" localSheetId="2">Datasets!$A$1:$D$3</definedName>
    <definedName name="ExternalData_21" localSheetId="2">Datasets!$E$1:$H$4</definedName>
    <definedName name="ExternalData_22" localSheetId="2">Datasets!$I$1:$K$3</definedName>
    <definedName name="ExternalData_23" localSheetId="2">Datasets!$L$1:$N$3</definedName>
    <definedName name="ExternalData_3" localSheetId="2">Datasets!$L$1:$N$3</definedName>
    <definedName name="ExternalData_4" localSheetId="2">Datasets!$E$1:$H$4</definedName>
    <definedName name="ExternalData_5" localSheetId="2">Datasets!$I$1:$K$3</definedName>
    <definedName name="ExternalData_6" localSheetId="2">Datasets!$L$1:$N$3</definedName>
    <definedName name="ExternalData_7" localSheetId="2">Datasets!$E$1:$H$4</definedName>
    <definedName name="ExternalData_8" localSheetId="2">Datasets!$I$1:$K$3</definedName>
    <definedName name="ExternalData_9" localSheetId="2">Datasets!$L$1:$N$3</definedName>
    <definedName name="solver_adj" localSheetId="0" hidden="1">Application!$E$2:$E$13,Application!$I$2:$I$13</definedName>
    <definedName name="solver_adj" localSheetId="1" hidden="1">Model!$B$2:$B$13,Model!$D$2:$D$13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0" hidden="1">Application!$I$2:$I$13</definedName>
    <definedName name="solver_lhs1" localSheetId="1" hidden="1">Model!$B$2:$B$13</definedName>
    <definedName name="solver_lhs10" localSheetId="0" hidden="1">Application!$K$9:$K$10</definedName>
    <definedName name="solver_lhs10" localSheetId="1" hidden="1">Model!$F$5:$F$7</definedName>
    <definedName name="solver_lhs100" localSheetId="1" hidden="1">Model!$F$2:$F$3</definedName>
    <definedName name="solver_lhs101" localSheetId="1" hidden="1">Model!$F$5:$F$7</definedName>
    <definedName name="solver_lhs102" localSheetId="1" hidden="1">Model!$F$9:$F$10</definedName>
    <definedName name="solver_lhs103" localSheetId="1" hidden="1">Model!$B$2:$B$13</definedName>
    <definedName name="solver_lhs104" localSheetId="1" hidden="1">Model!$B$2:$B$13</definedName>
    <definedName name="solver_lhs105" localSheetId="1" hidden="1">Model!$D$2:$D$13</definedName>
    <definedName name="solver_lhs106" localSheetId="1" hidden="1">Model!$F$2:$F$3</definedName>
    <definedName name="solver_lhs107" localSheetId="1" hidden="1">Model!$F$5:$F$7</definedName>
    <definedName name="solver_lhs108" localSheetId="1" hidden="1">Model!$F$9:$F$10</definedName>
    <definedName name="solver_lhs109" localSheetId="1" hidden="1">Model!$B$2:$B$13</definedName>
    <definedName name="solver_lhs11" localSheetId="0" hidden="1">Application!$E$2:$E$13</definedName>
    <definedName name="solver_lhs11" localSheetId="1" hidden="1">Model!$F$9:$F$10</definedName>
    <definedName name="solver_lhs110" localSheetId="1" hidden="1">Model!$B$2:$B$13</definedName>
    <definedName name="solver_lhs111" localSheetId="1" hidden="1">Model!$D$2:$D$13</definedName>
    <definedName name="solver_lhs112" localSheetId="1" hidden="1">Model!$F$2:$F$3</definedName>
    <definedName name="solver_lhs113" localSheetId="1" hidden="1">Model!$F$5:$F$7</definedName>
    <definedName name="solver_lhs114" localSheetId="1" hidden="1">Model!$F$9:$F$10</definedName>
    <definedName name="solver_lhs115" localSheetId="1" hidden="1">Model!$B$2:$B$13</definedName>
    <definedName name="solver_lhs116" localSheetId="1" hidden="1">Model!$B$2:$B$13</definedName>
    <definedName name="solver_lhs117" localSheetId="1" hidden="1">Model!$D$2:$D$13</definedName>
    <definedName name="solver_lhs118" localSheetId="1" hidden="1">Model!$F$2:$F$3</definedName>
    <definedName name="solver_lhs119" localSheetId="1" hidden="1">Model!$F$5:$F$7</definedName>
    <definedName name="solver_lhs12" localSheetId="0" hidden="1">Application!$E$2:$E$13</definedName>
    <definedName name="solver_lhs12" localSheetId="1" hidden="1">Model!$F$9:$F$10</definedName>
    <definedName name="solver_lhs120" localSheetId="1" hidden="1">Model!$F$9:$F$10</definedName>
    <definedName name="solver_lhs121" localSheetId="1" hidden="1">Model!$B$2:$B$13</definedName>
    <definedName name="solver_lhs122" localSheetId="1" hidden="1">Model!$B$2:$B$13</definedName>
    <definedName name="solver_lhs123" localSheetId="1" hidden="1">Model!$D$2:$D$13</definedName>
    <definedName name="solver_lhs124" localSheetId="1" hidden="1">Model!$F$2:$F$3</definedName>
    <definedName name="solver_lhs125" localSheetId="1" hidden="1">Model!$F$5:$F$7</definedName>
    <definedName name="solver_lhs126" localSheetId="1" hidden="1">Model!$F$9:$F$10</definedName>
    <definedName name="solver_lhs127" localSheetId="1" hidden="1">Model!$B$2:$B$13</definedName>
    <definedName name="solver_lhs128" localSheetId="1" hidden="1">Model!$B$2:$B$13</definedName>
    <definedName name="solver_lhs13" localSheetId="1" hidden="1">Model!$D$2:$D$13</definedName>
    <definedName name="solver_lhs14" localSheetId="1" hidden="1">Model!$F$2:$F$3</definedName>
    <definedName name="solver_lhs15" localSheetId="1" hidden="1">Model!$F$5:$F$7</definedName>
    <definedName name="solver_lhs16" localSheetId="1" hidden="1">Model!$F$9:$F$10</definedName>
    <definedName name="solver_lhs17" localSheetId="1" hidden="1">Model!$B$2:$B$13</definedName>
    <definedName name="solver_lhs18" localSheetId="1" hidden="1">Model!$B$2:$B$13</definedName>
    <definedName name="solver_lhs19" localSheetId="1" hidden="1">Model!$D$2:$D$13</definedName>
    <definedName name="solver_lhs2" localSheetId="0" hidden="1">Application!$K$2:$K$3</definedName>
    <definedName name="solver_lhs2" localSheetId="1" hidden="1">Model!$B$2:$B$13</definedName>
    <definedName name="solver_lhs20" localSheetId="1" hidden="1">Model!$F$2:$F$3</definedName>
    <definedName name="solver_lhs21" localSheetId="1" hidden="1">Model!$F$5:$F$7</definedName>
    <definedName name="solver_lhs22" localSheetId="1" hidden="1">Model!$F$9:$F$10</definedName>
    <definedName name="solver_lhs23" localSheetId="1" hidden="1">Model!$B$2:$B$13</definedName>
    <definedName name="solver_lhs24" localSheetId="1" hidden="1">Model!$B$2:$B$13</definedName>
    <definedName name="solver_lhs25" localSheetId="1" hidden="1">Model!$D$2:$D$13</definedName>
    <definedName name="solver_lhs26" localSheetId="1" hidden="1">Model!$F$2:$F$3</definedName>
    <definedName name="solver_lhs27" localSheetId="1" hidden="1">Model!$F$5:$F$7</definedName>
    <definedName name="solver_lhs28" localSheetId="1" hidden="1">Model!$F$9:$F$10</definedName>
    <definedName name="solver_lhs29" localSheetId="1" hidden="1">Model!$B$2:$B$13</definedName>
    <definedName name="solver_lhs3" localSheetId="0" hidden="1">Application!$K$5:$K$7</definedName>
    <definedName name="solver_lhs3" localSheetId="1" hidden="1">Model!$D$2:$D$13</definedName>
    <definedName name="solver_lhs30" localSheetId="1" hidden="1">Model!$B$2:$B$13</definedName>
    <definedName name="solver_lhs31" localSheetId="1" hidden="1">Model!$D$2:$D$13</definedName>
    <definedName name="solver_lhs32" localSheetId="1" hidden="1">Model!$F$2:$F$3</definedName>
    <definedName name="solver_lhs33" localSheetId="1" hidden="1">Model!$F$5:$F$7</definedName>
    <definedName name="solver_lhs34" localSheetId="1" hidden="1">Model!$F$9:$F$10</definedName>
    <definedName name="solver_lhs35" localSheetId="1" hidden="1">Model!$B$2:$B$13</definedName>
    <definedName name="solver_lhs36" localSheetId="1" hidden="1">Model!$B$2:$B$13</definedName>
    <definedName name="solver_lhs37" localSheetId="1" hidden="1">Model!$D$2:$D$13</definedName>
    <definedName name="solver_lhs38" localSheetId="1" hidden="1">Model!$F$2:$F$3</definedName>
    <definedName name="solver_lhs39" localSheetId="1" hidden="1">Model!$F$5:$F$7</definedName>
    <definedName name="solver_lhs4" localSheetId="0" hidden="1">Application!$K$9:$K$10</definedName>
    <definedName name="solver_lhs4" localSheetId="1" hidden="1">Model!$F$2:$F$3</definedName>
    <definedName name="solver_lhs40" localSheetId="1" hidden="1">Model!$F$9:$F$10</definedName>
    <definedName name="solver_lhs41" localSheetId="1" hidden="1">Model!$B$2:$B$13</definedName>
    <definedName name="solver_lhs42" localSheetId="1" hidden="1">Model!$B$2:$B$13</definedName>
    <definedName name="solver_lhs43" localSheetId="1" hidden="1">Model!$D$2:$D$13</definedName>
    <definedName name="solver_lhs44" localSheetId="1" hidden="1">Model!$F$2:$F$3</definedName>
    <definedName name="solver_lhs45" localSheetId="1" hidden="1">Model!$F$5:$F$7</definedName>
    <definedName name="solver_lhs46" localSheetId="1" hidden="1">Model!$F$9:$F$10</definedName>
    <definedName name="solver_lhs47" localSheetId="1" hidden="1">Model!$B$2:$B$13</definedName>
    <definedName name="solver_lhs48" localSheetId="1" hidden="1">Model!$B$2:$B$13</definedName>
    <definedName name="solver_lhs49" localSheetId="1" hidden="1">Model!$D$2:$D$13</definedName>
    <definedName name="solver_lhs5" localSheetId="0" hidden="1">Application!$E$2:$E$13</definedName>
    <definedName name="solver_lhs5" localSheetId="1" hidden="1">Model!$F$5:$F$7</definedName>
    <definedName name="solver_lhs50" localSheetId="1" hidden="1">Model!$F$2:$F$3</definedName>
    <definedName name="solver_lhs51" localSheetId="1" hidden="1">Model!$F$5:$F$7</definedName>
    <definedName name="solver_lhs52" localSheetId="1" hidden="1">Model!$F$9:$F$10</definedName>
    <definedName name="solver_lhs53" localSheetId="1" hidden="1">Model!$B$2:$B$13</definedName>
    <definedName name="solver_lhs54" localSheetId="1" hidden="1">Model!$B$2:$B$13</definedName>
    <definedName name="solver_lhs55" localSheetId="1" hidden="1">Model!$D$2:$D$13</definedName>
    <definedName name="solver_lhs56" localSheetId="1" hidden="1">Model!$F$2:$F$3</definedName>
    <definedName name="solver_lhs57" localSheetId="1" hidden="1">Model!$F$5:$F$7</definedName>
    <definedName name="solver_lhs58" localSheetId="1" hidden="1">Model!$F$9:$F$10</definedName>
    <definedName name="solver_lhs59" localSheetId="1" hidden="1">Model!$B$2:$B$13</definedName>
    <definedName name="solver_lhs6" localSheetId="0" hidden="1">Application!$E$2:$E$13</definedName>
    <definedName name="solver_lhs6" localSheetId="1" hidden="1">Model!$F$9:$F$10</definedName>
    <definedName name="solver_lhs60" localSheetId="1" hidden="1">Model!$B$2:$B$13</definedName>
    <definedName name="solver_lhs61" localSheetId="1" hidden="1">Model!$D$2:$D$13</definedName>
    <definedName name="solver_lhs62" localSheetId="1" hidden="1">Model!$F$2:$F$3</definedName>
    <definedName name="solver_lhs63" localSheetId="1" hidden="1">Model!$F$5:$F$7</definedName>
    <definedName name="solver_lhs64" localSheetId="1" hidden="1">Model!$F$9:$F$10</definedName>
    <definedName name="solver_lhs65" localSheetId="1" hidden="1">Model!$B$2:$B$13</definedName>
    <definedName name="solver_lhs66" localSheetId="1" hidden="1">Model!$B$2:$B$13</definedName>
    <definedName name="solver_lhs67" localSheetId="1" hidden="1">Model!$D$2:$D$13</definedName>
    <definedName name="solver_lhs68" localSheetId="1" hidden="1">Model!$F$2:$F$3</definedName>
    <definedName name="solver_lhs69" localSheetId="1" hidden="1">Model!$F$5:$F$7</definedName>
    <definedName name="solver_lhs7" localSheetId="0" hidden="1">Application!$I$2:$I$13</definedName>
    <definedName name="solver_lhs7" localSheetId="1" hidden="1">Model!$D$2:$D$13</definedName>
    <definedName name="solver_lhs70" localSheetId="1" hidden="1">Model!$F$9:$F$10</definedName>
    <definedName name="solver_lhs71" localSheetId="1" hidden="1">Model!$B$2:$B$13</definedName>
    <definedName name="solver_lhs72" localSheetId="1" hidden="1">Model!$B$2:$B$13</definedName>
    <definedName name="solver_lhs73" localSheetId="1" hidden="1">Model!$D$2:$D$13</definedName>
    <definedName name="solver_lhs74" localSheetId="1" hidden="1">Model!$F$2:$F$3</definedName>
    <definedName name="solver_lhs75" localSheetId="1" hidden="1">Model!$F$5:$F$7</definedName>
    <definedName name="solver_lhs76" localSheetId="1" hidden="1">Model!$F$9:$F$10</definedName>
    <definedName name="solver_lhs77" localSheetId="1" hidden="1">Model!$B$2:$B$13</definedName>
    <definedName name="solver_lhs78" localSheetId="1" hidden="1">Model!$B$2:$B$13</definedName>
    <definedName name="solver_lhs79" localSheetId="1" hidden="1">Model!$D$2:$D$13</definedName>
    <definedName name="solver_lhs8" localSheetId="0" hidden="1">Application!$K$2:$K$3</definedName>
    <definedName name="solver_lhs8" localSheetId="1" hidden="1">Model!$F$5:$F$7</definedName>
    <definedName name="solver_lhs80" localSheetId="1" hidden="1">Model!$F$2:$F$3</definedName>
    <definedName name="solver_lhs81" localSheetId="1" hidden="1">Model!$F$5:$F$7</definedName>
    <definedName name="solver_lhs82" localSheetId="1" hidden="1">Model!$F$9:$F$10</definedName>
    <definedName name="solver_lhs83" localSheetId="1" hidden="1">Model!$B$2:$B$13</definedName>
    <definedName name="solver_lhs84" localSheetId="1" hidden="1">Model!$B$2:$B$13</definedName>
    <definedName name="solver_lhs85" localSheetId="1" hidden="1">Model!$B$2:$B$13</definedName>
    <definedName name="solver_lhs86" localSheetId="1" hidden="1">Model!$B$2:$B$13</definedName>
    <definedName name="solver_lhs87" localSheetId="1" hidden="1">Model!$D$2:$D$13</definedName>
    <definedName name="solver_lhs88" localSheetId="1" hidden="1">Model!$F$2:$F$3</definedName>
    <definedName name="solver_lhs89" localSheetId="1" hidden="1">Model!$F$5:$F$7</definedName>
    <definedName name="solver_lhs9" localSheetId="0" hidden="1">Application!$K$5:$K$7</definedName>
    <definedName name="solver_lhs9" localSheetId="1" hidden="1">Model!$F$2:$F$3</definedName>
    <definedName name="solver_lhs90" localSheetId="1" hidden="1">Model!$F$9:$F$10</definedName>
    <definedName name="solver_lhs91" localSheetId="1" hidden="1">Model!$B$2:$B$13</definedName>
    <definedName name="solver_lhs92" localSheetId="1" hidden="1">Model!$B$2:$B$13</definedName>
    <definedName name="solver_lhs93" localSheetId="1" hidden="1">Model!$D$2:$D$13</definedName>
    <definedName name="solver_lhs94" localSheetId="1" hidden="1">Model!$F$2:$F$3</definedName>
    <definedName name="solver_lhs95" localSheetId="1" hidden="1">Model!$F$5:$F$7</definedName>
    <definedName name="solver_lhs96" localSheetId="1" hidden="1">Model!$F$9:$F$10</definedName>
    <definedName name="solver_lhs97" localSheetId="1" hidden="1">Model!$B$2:$B$13</definedName>
    <definedName name="solver_lhs98" localSheetId="1" hidden="1">Model!$B$2:$B$13</definedName>
    <definedName name="solver_lhs99" localSheetId="1" hidden="1">Model!$D$2:$D$13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1" hidden="1">2147483647</definedName>
    <definedName name="solver_num" localSheetId="0" hidden="1">12</definedName>
    <definedName name="solver_num" localSheetId="1" hidden="1">6</definedName>
    <definedName name="solver_nwt" localSheetId="1" hidden="1">1</definedName>
    <definedName name="solver_opt" localSheetId="0" hidden="1">Application!$Q$2</definedName>
    <definedName name="solver_opt" localSheetId="1" hidden="1">Model!$L$2</definedName>
    <definedName name="solver_pre" localSheetId="1" hidden="1">0.000001</definedName>
    <definedName name="solver_rbv" localSheetId="1" hidden="1">1</definedName>
    <definedName name="solver_rel1" localSheetId="0" hidden="1">4</definedName>
    <definedName name="solver_rel1" localSheetId="1" hidden="1">1</definedName>
    <definedName name="solver_rel10" localSheetId="0" hidden="1">1</definedName>
    <definedName name="solver_rel10" localSheetId="1" hidden="1">2</definedName>
    <definedName name="solver_rel100" localSheetId="1" hidden="1">1</definedName>
    <definedName name="solver_rel101" localSheetId="1" hidden="1">2</definedName>
    <definedName name="solver_rel102" localSheetId="1" hidden="1">1</definedName>
    <definedName name="solver_rel103" localSheetId="1" hidden="1">1</definedName>
    <definedName name="solver_rel104" localSheetId="1" hidden="1">1</definedName>
    <definedName name="solver_rel105" localSheetId="1" hidden="1">4</definedName>
    <definedName name="solver_rel106" localSheetId="1" hidden="1">1</definedName>
    <definedName name="solver_rel107" localSheetId="1" hidden="1">2</definedName>
    <definedName name="solver_rel108" localSheetId="1" hidden="1">1</definedName>
    <definedName name="solver_rel109" localSheetId="1" hidden="1">1</definedName>
    <definedName name="solver_rel11" localSheetId="0" hidden="1">1</definedName>
    <definedName name="solver_rel11" localSheetId="1" hidden="1">1</definedName>
    <definedName name="solver_rel110" localSheetId="1" hidden="1">1</definedName>
    <definedName name="solver_rel111" localSheetId="1" hidden="1">4</definedName>
    <definedName name="solver_rel112" localSheetId="1" hidden="1">1</definedName>
    <definedName name="solver_rel113" localSheetId="1" hidden="1">2</definedName>
    <definedName name="solver_rel114" localSheetId="1" hidden="1">1</definedName>
    <definedName name="solver_rel115" localSheetId="1" hidden="1">1</definedName>
    <definedName name="solver_rel116" localSheetId="1" hidden="1">1</definedName>
    <definedName name="solver_rel117" localSheetId="1" hidden="1">4</definedName>
    <definedName name="solver_rel118" localSheetId="1" hidden="1">1</definedName>
    <definedName name="solver_rel119" localSheetId="1" hidden="1">2</definedName>
    <definedName name="solver_rel12" localSheetId="0" hidden="1">1</definedName>
    <definedName name="solver_rel12" localSheetId="1" hidden="1">1</definedName>
    <definedName name="solver_rel120" localSheetId="1" hidden="1">1</definedName>
    <definedName name="solver_rel121" localSheetId="1" hidden="1">1</definedName>
    <definedName name="solver_rel122" localSheetId="1" hidden="1">1</definedName>
    <definedName name="solver_rel123" localSheetId="1" hidden="1">4</definedName>
    <definedName name="solver_rel124" localSheetId="1" hidden="1">1</definedName>
    <definedName name="solver_rel125" localSheetId="1" hidden="1">2</definedName>
    <definedName name="solver_rel126" localSheetId="1" hidden="1">1</definedName>
    <definedName name="solver_rel127" localSheetId="1" hidden="1">1</definedName>
    <definedName name="solver_rel128" localSheetId="1" hidden="1">1</definedName>
    <definedName name="solver_rel13" localSheetId="1" hidden="1">4</definedName>
    <definedName name="solver_rel14" localSheetId="1" hidden="1">1</definedName>
    <definedName name="solver_rel15" localSheetId="1" hidden="1">2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4</definedName>
    <definedName name="solver_rel2" localSheetId="0" hidden="1">1</definedName>
    <definedName name="solver_rel2" localSheetId="1" hidden="1">1</definedName>
    <definedName name="solver_rel20" localSheetId="1" hidden="1">1</definedName>
    <definedName name="solver_rel21" localSheetId="1" hidden="1">2</definedName>
    <definedName name="solver_rel22" localSheetId="1" hidden="1">1</definedName>
    <definedName name="solver_rel23" localSheetId="1" hidden="1">1</definedName>
    <definedName name="solver_rel24" localSheetId="1" hidden="1">1</definedName>
    <definedName name="solver_rel25" localSheetId="1" hidden="1">4</definedName>
    <definedName name="solver_rel26" localSheetId="1" hidden="1">1</definedName>
    <definedName name="solver_rel27" localSheetId="1" hidden="1">2</definedName>
    <definedName name="solver_rel28" localSheetId="1" hidden="1">1</definedName>
    <definedName name="solver_rel29" localSheetId="1" hidden="1">1</definedName>
    <definedName name="solver_rel3" localSheetId="0" hidden="1">2</definedName>
    <definedName name="solver_rel3" localSheetId="1" hidden="1">4</definedName>
    <definedName name="solver_rel30" localSheetId="1" hidden="1">1</definedName>
    <definedName name="solver_rel31" localSheetId="1" hidden="1">4</definedName>
    <definedName name="solver_rel32" localSheetId="1" hidden="1">1</definedName>
    <definedName name="solver_rel33" localSheetId="1" hidden="1">2</definedName>
    <definedName name="solver_rel34" localSheetId="1" hidden="1">1</definedName>
    <definedName name="solver_rel35" localSheetId="1" hidden="1">1</definedName>
    <definedName name="solver_rel36" localSheetId="1" hidden="1">1</definedName>
    <definedName name="solver_rel37" localSheetId="1" hidden="1">4</definedName>
    <definedName name="solver_rel38" localSheetId="1" hidden="1">1</definedName>
    <definedName name="solver_rel39" localSheetId="1" hidden="1">2</definedName>
    <definedName name="solver_rel4" localSheetId="0" hidden="1">1</definedName>
    <definedName name="solver_rel4" localSheetId="1" hidden="1">1</definedName>
    <definedName name="solver_rel40" localSheetId="1" hidden="1">1</definedName>
    <definedName name="solver_rel41" localSheetId="1" hidden="1">1</definedName>
    <definedName name="solver_rel42" localSheetId="1" hidden="1">1</definedName>
    <definedName name="solver_rel43" localSheetId="1" hidden="1">4</definedName>
    <definedName name="solver_rel44" localSheetId="1" hidden="1">1</definedName>
    <definedName name="solver_rel45" localSheetId="1" hidden="1">2</definedName>
    <definedName name="solver_rel46" localSheetId="1" hidden="1">1</definedName>
    <definedName name="solver_rel47" localSheetId="1" hidden="1">1</definedName>
    <definedName name="solver_rel48" localSheetId="1" hidden="1">1</definedName>
    <definedName name="solver_rel49" localSheetId="1" hidden="1">4</definedName>
    <definedName name="solver_rel5" localSheetId="0" hidden="1">1</definedName>
    <definedName name="solver_rel5" localSheetId="1" hidden="1">2</definedName>
    <definedName name="solver_rel50" localSheetId="1" hidden="1">1</definedName>
    <definedName name="solver_rel51" localSheetId="1" hidden="1">2</definedName>
    <definedName name="solver_rel52" localSheetId="1" hidden="1">1</definedName>
    <definedName name="solver_rel53" localSheetId="1" hidden="1">1</definedName>
    <definedName name="solver_rel54" localSheetId="1" hidden="1">1</definedName>
    <definedName name="solver_rel55" localSheetId="1" hidden="1">4</definedName>
    <definedName name="solver_rel56" localSheetId="1" hidden="1">1</definedName>
    <definedName name="solver_rel57" localSheetId="1" hidden="1">2</definedName>
    <definedName name="solver_rel58" localSheetId="1" hidden="1">1</definedName>
    <definedName name="solver_rel59" localSheetId="1" hidden="1">1</definedName>
    <definedName name="solver_rel6" localSheetId="0" hidden="1">1</definedName>
    <definedName name="solver_rel6" localSheetId="1" hidden="1">1</definedName>
    <definedName name="solver_rel60" localSheetId="1" hidden="1">1</definedName>
    <definedName name="solver_rel61" localSheetId="1" hidden="1">4</definedName>
    <definedName name="solver_rel62" localSheetId="1" hidden="1">1</definedName>
    <definedName name="solver_rel63" localSheetId="1" hidden="1">2</definedName>
    <definedName name="solver_rel64" localSheetId="1" hidden="1">1</definedName>
    <definedName name="solver_rel65" localSheetId="1" hidden="1">1</definedName>
    <definedName name="solver_rel66" localSheetId="1" hidden="1">1</definedName>
    <definedName name="solver_rel67" localSheetId="1" hidden="1">4</definedName>
    <definedName name="solver_rel68" localSheetId="1" hidden="1">1</definedName>
    <definedName name="solver_rel69" localSheetId="1" hidden="1">2</definedName>
    <definedName name="solver_rel7" localSheetId="0" hidden="1">4</definedName>
    <definedName name="solver_rel7" localSheetId="1" hidden="1">4</definedName>
    <definedName name="solver_rel70" localSheetId="1" hidden="1">1</definedName>
    <definedName name="solver_rel71" localSheetId="1" hidden="1">1</definedName>
    <definedName name="solver_rel72" localSheetId="1" hidden="1">1</definedName>
    <definedName name="solver_rel73" localSheetId="1" hidden="1">4</definedName>
    <definedName name="solver_rel74" localSheetId="1" hidden="1">1</definedName>
    <definedName name="solver_rel75" localSheetId="1" hidden="1">2</definedName>
    <definedName name="solver_rel76" localSheetId="1" hidden="1">1</definedName>
    <definedName name="solver_rel77" localSheetId="1" hidden="1">1</definedName>
    <definedName name="solver_rel78" localSheetId="1" hidden="1">1</definedName>
    <definedName name="solver_rel79" localSheetId="1" hidden="1">4</definedName>
    <definedName name="solver_rel8" localSheetId="0" hidden="1">1</definedName>
    <definedName name="solver_rel8" localSheetId="1" hidden="1">2</definedName>
    <definedName name="solver_rel80" localSheetId="1" hidden="1">1</definedName>
    <definedName name="solver_rel81" localSheetId="1" hidden="1">2</definedName>
    <definedName name="solver_rel82" localSheetId="1" hidden="1">1</definedName>
    <definedName name="solver_rel83" localSheetId="1" hidden="1">1</definedName>
    <definedName name="solver_rel84" localSheetId="1" hidden="1">1</definedName>
    <definedName name="solver_rel85" localSheetId="1" hidden="1">1</definedName>
    <definedName name="solver_rel86" localSheetId="1" hidden="1">1</definedName>
    <definedName name="solver_rel87" localSheetId="1" hidden="1">5</definedName>
    <definedName name="solver_rel88" localSheetId="1" hidden="1">1</definedName>
    <definedName name="solver_rel89" localSheetId="1" hidden="1">2</definedName>
    <definedName name="solver_rel9" localSheetId="0" hidden="1">2</definedName>
    <definedName name="solver_rel9" localSheetId="1" hidden="1">1</definedName>
    <definedName name="solver_rel90" localSheetId="1" hidden="1">1</definedName>
    <definedName name="solver_rel91" localSheetId="1" hidden="1">1</definedName>
    <definedName name="solver_rel92" localSheetId="1" hidden="1">1</definedName>
    <definedName name="solver_rel93" localSheetId="1" hidden="1">5</definedName>
    <definedName name="solver_rel94" localSheetId="1" hidden="1">1</definedName>
    <definedName name="solver_rel95" localSheetId="1" hidden="1">2</definedName>
    <definedName name="solver_rel96" localSheetId="1" hidden="1">1</definedName>
    <definedName name="solver_rel97" localSheetId="1" hidden="1">1</definedName>
    <definedName name="solver_rel98" localSheetId="1" hidden="1">1</definedName>
    <definedName name="solver_rel99" localSheetId="1" hidden="1">4</definedName>
    <definedName name="solver_rhs1" localSheetId="0" hidden="1">"integer"</definedName>
    <definedName name="solver_rhs1" localSheetId="1" hidden="1">Model!$J$2:$J$13</definedName>
    <definedName name="solver_rhs10" localSheetId="0" hidden="1">Application!$L$9:$L$10</definedName>
    <definedName name="solver_rhs10" localSheetId="1" hidden="1">Model!$G$5:$G$7</definedName>
    <definedName name="solver_rhs100" localSheetId="1" hidden="1">Model!$G$2:$G$3</definedName>
    <definedName name="solver_rhs101" localSheetId="1" hidden="1">Model!$G$5:$G$7</definedName>
    <definedName name="solver_rhs102" localSheetId="1" hidden="1">Model!$G$9:$G$10</definedName>
    <definedName name="solver_rhs103" localSheetId="1" hidden="1">Model!$H$2:$H$13</definedName>
    <definedName name="solver_rhs104" localSheetId="1" hidden="1">Model!$J$2:$J$13</definedName>
    <definedName name="solver_rhs105" localSheetId="1" hidden="1">"integer"</definedName>
    <definedName name="solver_rhs106" localSheetId="1" hidden="1">Model!$G$2:$G$3</definedName>
    <definedName name="solver_rhs107" localSheetId="1" hidden="1">Model!$G$5:$G$7</definedName>
    <definedName name="solver_rhs108" localSheetId="1" hidden="1">Model!$G$9:$G$10</definedName>
    <definedName name="solver_rhs109" localSheetId="1" hidden="1">Model!$H$2:$H$13</definedName>
    <definedName name="solver_rhs11" localSheetId="0" hidden="1">Application!$M$2:$M$13</definedName>
    <definedName name="solver_rhs11" localSheetId="1" hidden="1">Model!$G$9:$G$10</definedName>
    <definedName name="solver_rhs110" localSheetId="1" hidden="1">Model!$J$2:$J$13</definedName>
    <definedName name="solver_rhs111" localSheetId="1" hidden="1">"integer"</definedName>
    <definedName name="solver_rhs112" localSheetId="1" hidden="1">Model!$G$2:$G$3</definedName>
    <definedName name="solver_rhs113" localSheetId="1" hidden="1">Model!$G$5:$G$7</definedName>
    <definedName name="solver_rhs114" localSheetId="1" hidden="1">Model!$G$9:$G$10</definedName>
    <definedName name="solver_rhs115" localSheetId="1" hidden="1">Model!$H$2:$H$13</definedName>
    <definedName name="solver_rhs116" localSheetId="1" hidden="1">Model!$J$2:$J$13</definedName>
    <definedName name="solver_rhs117" localSheetId="1" hidden="1">"integer"</definedName>
    <definedName name="solver_rhs118" localSheetId="1" hidden="1">Model!$G$2:$G$3</definedName>
    <definedName name="solver_rhs119" localSheetId="1" hidden="1">Model!$G$5:$G$7</definedName>
    <definedName name="solver_rhs12" localSheetId="0" hidden="1">Application!$O$2:$O$13</definedName>
    <definedName name="solver_rhs12" localSheetId="1" hidden="1">Model!$G$9:$G$10</definedName>
    <definedName name="solver_rhs120" localSheetId="1" hidden="1">Model!$G$9:$G$10</definedName>
    <definedName name="solver_rhs121" localSheetId="1" hidden="1">Model!$H$2:$H$13</definedName>
    <definedName name="solver_rhs122" localSheetId="1" hidden="1">Model!$J$2:$J$13</definedName>
    <definedName name="solver_rhs123" localSheetId="1" hidden="1">"integer"</definedName>
    <definedName name="solver_rhs124" localSheetId="1" hidden="1">Model!$G$2:$G$3</definedName>
    <definedName name="solver_rhs125" localSheetId="1" hidden="1">Model!$G$5:$G$7</definedName>
    <definedName name="solver_rhs126" localSheetId="1" hidden="1">Model!$G$9:$G$10</definedName>
    <definedName name="solver_rhs127" localSheetId="1" hidden="1">Model!$H$2:$H$13</definedName>
    <definedName name="solver_rhs128" localSheetId="1" hidden="1">Model!$J$2:$J$13</definedName>
    <definedName name="solver_rhs13" localSheetId="1" hidden="1">"integer"</definedName>
    <definedName name="solver_rhs14" localSheetId="1" hidden="1">Model!$G$2:$G$3</definedName>
    <definedName name="solver_rhs15" localSheetId="1" hidden="1">Model!$G$5:$G$7</definedName>
    <definedName name="solver_rhs16" localSheetId="1" hidden="1">Model!$G$9:$G$10</definedName>
    <definedName name="solver_rhs17" localSheetId="1" hidden="1">Model!$H$2:$H$13</definedName>
    <definedName name="solver_rhs18" localSheetId="1" hidden="1">Model!$J$2:$J$13</definedName>
    <definedName name="solver_rhs19" localSheetId="1" hidden="1">"integer"</definedName>
    <definedName name="solver_rhs2" localSheetId="0" hidden="1">Application!$L$2:$L$3</definedName>
    <definedName name="solver_rhs2" localSheetId="1" hidden="1">Model!$H$2:$H$13</definedName>
    <definedName name="solver_rhs20" localSheetId="1" hidden="1">Model!$G$2:$G$3</definedName>
    <definedName name="solver_rhs21" localSheetId="1" hidden="1">Model!$G$5:$G$7</definedName>
    <definedName name="solver_rhs22" localSheetId="1" hidden="1">Model!$G$9:$G$10</definedName>
    <definedName name="solver_rhs23" localSheetId="1" hidden="1">Model!$H$2:$H$13</definedName>
    <definedName name="solver_rhs24" localSheetId="1" hidden="1">Model!$J$2:$J$13</definedName>
    <definedName name="solver_rhs25" localSheetId="1" hidden="1">"integer"</definedName>
    <definedName name="solver_rhs26" localSheetId="1" hidden="1">Model!$G$2:$G$3</definedName>
    <definedName name="solver_rhs27" localSheetId="1" hidden="1">Model!$G$5:$G$7</definedName>
    <definedName name="solver_rhs28" localSheetId="1" hidden="1">Model!$G$9:$G$10</definedName>
    <definedName name="solver_rhs29" localSheetId="1" hidden="1">Model!$H$2:$H$13</definedName>
    <definedName name="solver_rhs3" localSheetId="0" hidden="1">Application!$L$5:$L$7</definedName>
    <definedName name="solver_rhs3" localSheetId="1" hidden="1">"integer"</definedName>
    <definedName name="solver_rhs30" localSheetId="1" hidden="1">Model!$J$2:$J$13</definedName>
    <definedName name="solver_rhs31" localSheetId="1" hidden="1">"integer"</definedName>
    <definedName name="solver_rhs32" localSheetId="1" hidden="1">Model!$G$2:$G$3</definedName>
    <definedName name="solver_rhs33" localSheetId="1" hidden="1">Model!$G$5:$G$7</definedName>
    <definedName name="solver_rhs34" localSheetId="1" hidden="1">Model!$G$9:$G$10</definedName>
    <definedName name="solver_rhs35" localSheetId="1" hidden="1">Model!$H$2:$H$13</definedName>
    <definedName name="solver_rhs36" localSheetId="1" hidden="1">Model!$J$2:$J$13</definedName>
    <definedName name="solver_rhs37" localSheetId="1" hidden="1">"integer"</definedName>
    <definedName name="solver_rhs38" localSheetId="1" hidden="1">Model!$G$2:$G$3</definedName>
    <definedName name="solver_rhs39" localSheetId="1" hidden="1">Model!$G$5:$G$7</definedName>
    <definedName name="solver_rhs4" localSheetId="0" hidden="1">Application!$L$9:$L$10</definedName>
    <definedName name="solver_rhs4" localSheetId="1" hidden="1">Model!$G$2:$G$3</definedName>
    <definedName name="solver_rhs40" localSheetId="1" hidden="1">Model!$G$9:$G$10</definedName>
    <definedName name="solver_rhs41" localSheetId="1" hidden="1">Model!$H$2:$H$13</definedName>
    <definedName name="solver_rhs42" localSheetId="1" hidden="1">Model!$J$2:$J$13</definedName>
    <definedName name="solver_rhs43" localSheetId="1" hidden="1">"integer"</definedName>
    <definedName name="solver_rhs44" localSheetId="1" hidden="1">Model!$G$2:$G$3</definedName>
    <definedName name="solver_rhs45" localSheetId="1" hidden="1">Model!$G$5:$G$7</definedName>
    <definedName name="solver_rhs46" localSheetId="1" hidden="1">Model!$G$9:$G$10</definedName>
    <definedName name="solver_rhs47" localSheetId="1" hidden="1">Model!$H$2:$H$13</definedName>
    <definedName name="solver_rhs48" localSheetId="1" hidden="1">Model!$J$2:$J$13</definedName>
    <definedName name="solver_rhs49" localSheetId="1" hidden="1">"integer"</definedName>
    <definedName name="solver_rhs5" localSheetId="0" hidden="1">Application!$M$2:$M$13</definedName>
    <definedName name="solver_rhs5" localSheetId="1" hidden="1">Model!$G$5:$G$7</definedName>
    <definedName name="solver_rhs50" localSheetId="1" hidden="1">Model!$G$2:$G$3</definedName>
    <definedName name="solver_rhs51" localSheetId="1" hidden="1">Model!$G$5:$G$7</definedName>
    <definedName name="solver_rhs52" localSheetId="1" hidden="1">Model!$G$9:$G$10</definedName>
    <definedName name="solver_rhs53" localSheetId="1" hidden="1">Model!$H$2:$H$13</definedName>
    <definedName name="solver_rhs54" localSheetId="1" hidden="1">Model!$J$2:$J$13</definedName>
    <definedName name="solver_rhs55" localSheetId="1" hidden="1">"integer"</definedName>
    <definedName name="solver_rhs56" localSheetId="1" hidden="1">Model!$G$2:$G$3</definedName>
    <definedName name="solver_rhs57" localSheetId="1" hidden="1">Model!$G$5:$G$7</definedName>
    <definedName name="solver_rhs58" localSheetId="1" hidden="1">Model!$G$9:$G$10</definedName>
    <definedName name="solver_rhs59" localSheetId="1" hidden="1">Model!$H$2:$H$13</definedName>
    <definedName name="solver_rhs6" localSheetId="0" hidden="1">Application!$O$2:$O$13</definedName>
    <definedName name="solver_rhs6" localSheetId="1" hidden="1">Model!$G$9:$G$10</definedName>
    <definedName name="solver_rhs60" localSheetId="1" hidden="1">Model!$J$2:$J$13</definedName>
    <definedName name="solver_rhs61" localSheetId="1" hidden="1">"integer"</definedName>
    <definedName name="solver_rhs62" localSheetId="1" hidden="1">Model!$G$2:$G$3</definedName>
    <definedName name="solver_rhs63" localSheetId="1" hidden="1">Model!$G$5:$G$7</definedName>
    <definedName name="solver_rhs64" localSheetId="1" hidden="1">Model!$G$9:$G$10</definedName>
    <definedName name="solver_rhs65" localSheetId="1" hidden="1">Model!$H$2:$H$13</definedName>
    <definedName name="solver_rhs66" localSheetId="1" hidden="1">Model!$J$2:$J$13</definedName>
    <definedName name="solver_rhs67" localSheetId="1" hidden="1">"integer"</definedName>
    <definedName name="solver_rhs68" localSheetId="1" hidden="1">Model!$G$2:$G$3</definedName>
    <definedName name="solver_rhs69" localSheetId="1" hidden="1">Model!$G$5:$G$7</definedName>
    <definedName name="solver_rhs7" localSheetId="0" hidden="1">"integer"</definedName>
    <definedName name="solver_rhs7" localSheetId="1" hidden="1">"integer"</definedName>
    <definedName name="solver_rhs70" localSheetId="1" hidden="1">Model!$G$9:$G$10</definedName>
    <definedName name="solver_rhs71" localSheetId="1" hidden="1">Model!$H$2:$H$13</definedName>
    <definedName name="solver_rhs72" localSheetId="1" hidden="1">Model!$J$2:$J$13</definedName>
    <definedName name="solver_rhs73" localSheetId="1" hidden="1">"integer"</definedName>
    <definedName name="solver_rhs74" localSheetId="1" hidden="1">Model!$G$2:$G$3</definedName>
    <definedName name="solver_rhs75" localSheetId="1" hidden="1">Model!$G$5:$G$7</definedName>
    <definedName name="solver_rhs76" localSheetId="1" hidden="1">Model!$G$9:$G$10</definedName>
    <definedName name="solver_rhs77" localSheetId="1" hidden="1">Model!$H$2:$H$13</definedName>
    <definedName name="solver_rhs78" localSheetId="1" hidden="1">Model!$J$2:$J$13</definedName>
    <definedName name="solver_rhs79" localSheetId="1" hidden="1">"integer"</definedName>
    <definedName name="solver_rhs8" localSheetId="0" hidden="1">Application!$L$2:$L$3</definedName>
    <definedName name="solver_rhs8" localSheetId="1" hidden="1">Model!$G$5:$G$7</definedName>
    <definedName name="solver_rhs80" localSheetId="1" hidden="1">Model!$G$2:$G$3</definedName>
    <definedName name="solver_rhs81" localSheetId="1" hidden="1">Model!$G$5:$G$7</definedName>
    <definedName name="solver_rhs82" localSheetId="1" hidden="1">Model!$G$9:$G$10</definedName>
    <definedName name="solver_rhs83" localSheetId="1" hidden="1">Model!$H$2:$H$13</definedName>
    <definedName name="solver_rhs84" localSheetId="1" hidden="1">Model!$J$2:$J$13</definedName>
    <definedName name="solver_rhs85" localSheetId="1" hidden="1">Model!$H$2:$H$13</definedName>
    <definedName name="solver_rhs86" localSheetId="1" hidden="1">Model!$J$2:$J$13</definedName>
    <definedName name="solver_rhs87" localSheetId="1" hidden="1">"binary"</definedName>
    <definedName name="solver_rhs88" localSheetId="1" hidden="1">Model!$G$2:$G$3</definedName>
    <definedName name="solver_rhs89" localSheetId="1" hidden="1">Model!$G$5:$G$7</definedName>
    <definedName name="solver_rhs9" localSheetId="0" hidden="1">Application!$L$5:$L$7</definedName>
    <definedName name="solver_rhs9" localSheetId="1" hidden="1">Model!$G$2:$G$3</definedName>
    <definedName name="solver_rhs90" localSheetId="1" hidden="1">Model!$G$9:$G$10</definedName>
    <definedName name="solver_rhs91" localSheetId="1" hidden="1">Model!$H$2:$H$13</definedName>
    <definedName name="solver_rhs92" localSheetId="1" hidden="1">Model!$J$2:$J$13</definedName>
    <definedName name="solver_rhs93" localSheetId="1" hidden="1">"binary"</definedName>
    <definedName name="solver_rhs94" localSheetId="1" hidden="1">Model!$G$2:$G$3</definedName>
    <definedName name="solver_rhs95" localSheetId="1" hidden="1">Model!$G$5:$G$7</definedName>
    <definedName name="solver_rhs96" localSheetId="1" hidden="1">Model!$G$9:$G$10</definedName>
    <definedName name="solver_rhs97" localSheetId="1" hidden="1">Model!$H$2:$H$13</definedName>
    <definedName name="solver_rhs98" localSheetId="1" hidden="1">Model!$J$2:$J$13</definedName>
    <definedName name="solver_rhs99" localSheetId="1" hidden="1">"integer"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0.00000001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4" name="Range 4" connection="WorksheetConnection_Sheet3!$D$7:$E$27"/>
          <x15:modelTable id="Range 3" name="Range 3" connection="WorksheetConnection_Sheet1!$A$12:$C$42"/>
          <x15:modelTable id="Range 2" name="Range 2" connection="WorksheetConnection_Sheet1!$A$12:$B$42"/>
          <x15:modelTable id="Range 1" name="Range 1" connection="WorksheetConnection_Sheet1!$A$1:$C$6"/>
          <x15:modelTable id="Range" name="Range" connection="WorksheetConnection_Sheet1!$A$1:$B$3"/>
          <x15:modelTable id="Range 5" name="Range 5" connection="WorksheetConnection_Application!$K$1:$P$664"/>
          <x15:modelTable id="Range 6" name="Range 6" connection="WorksheetConnection_Application!$K$1:$Q$66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4" l="1"/>
  <c r="A17" i="4" a="1"/>
  <c r="J13" i="5" s="1"/>
  <c r="Q3" i="4"/>
  <c r="P3" i="4"/>
  <c r="O3" i="4"/>
  <c r="Q2" i="4"/>
  <c r="P2" i="4"/>
  <c r="O2" i="4"/>
  <c r="L2" i="4"/>
  <c r="J13" i="4"/>
  <c r="J12" i="4"/>
  <c r="J11" i="4"/>
  <c r="J10" i="4"/>
  <c r="J9" i="4"/>
  <c r="J8" i="4"/>
  <c r="J7" i="4"/>
  <c r="J6" i="4"/>
  <c r="J5" i="4"/>
  <c r="J4" i="4"/>
  <c r="J3" i="4"/>
  <c r="J2" i="4"/>
  <c r="H13" i="4"/>
  <c r="H12" i="4"/>
  <c r="H11" i="4"/>
  <c r="H10" i="4"/>
  <c r="H9" i="4"/>
  <c r="H8" i="4"/>
  <c r="H7" i="4"/>
  <c r="H6" i="4"/>
  <c r="H5" i="4"/>
  <c r="H4" i="4"/>
  <c r="H3" i="4"/>
  <c r="H2" i="4"/>
  <c r="G10" i="4"/>
  <c r="G9" i="4"/>
  <c r="G7" i="4"/>
  <c r="G6" i="4"/>
  <c r="G5" i="4"/>
  <c r="G3" i="4"/>
  <c r="G2" i="4"/>
  <c r="F7" i="4"/>
  <c r="F6" i="4"/>
  <c r="F3" i="4"/>
  <c r="F2" i="4"/>
  <c r="J11" i="5" l="1"/>
  <c r="J8" i="5"/>
  <c r="J9" i="5"/>
  <c r="J10" i="5"/>
  <c r="J12" i="5"/>
  <c r="J7" i="5"/>
  <c r="J6" i="5"/>
  <c r="J3" i="5"/>
  <c r="J4" i="5"/>
  <c r="J5" i="5"/>
  <c r="I13" i="5"/>
  <c r="B12" i="5" a="1"/>
  <c r="B12" i="5" s="1"/>
  <c r="A12" i="5" s="1"/>
  <c r="E10" i="5" a="1"/>
  <c r="E10" i="5" s="1"/>
  <c r="H12" i="5" a="1"/>
  <c r="H12" i="5" s="1"/>
  <c r="I9" i="5"/>
  <c r="B7" i="5" a="1"/>
  <c r="B7" i="5" s="1"/>
  <c r="A7" i="5" s="1"/>
  <c r="B13" i="5" a="1"/>
  <c r="B13" i="5" s="1"/>
  <c r="A13" i="5" s="1"/>
  <c r="E11" i="5" a="1"/>
  <c r="E11" i="5" s="1"/>
  <c r="H8" i="5" a="1"/>
  <c r="H8" i="5" s="1"/>
  <c r="I10" i="5"/>
  <c r="I11" i="5"/>
  <c r="B11" i="5" a="1"/>
  <c r="B11" i="5" s="1"/>
  <c r="A11" i="5" s="1"/>
  <c r="E9" i="5" a="1"/>
  <c r="E9" i="5" s="1"/>
  <c r="H13" i="5" a="1"/>
  <c r="H13" i="5" s="1"/>
  <c r="I8" i="5"/>
  <c r="B8" i="5" a="1"/>
  <c r="B8" i="5" s="1"/>
  <c r="A8" i="5" s="1"/>
  <c r="E7" i="5" a="1"/>
  <c r="E7" i="5" s="1"/>
  <c r="E12" i="5" a="1"/>
  <c r="E12" i="5" s="1"/>
  <c r="H11" i="5" a="1"/>
  <c r="H11" i="5" s="1"/>
  <c r="B9" i="5" a="1"/>
  <c r="B9" i="5" s="1"/>
  <c r="A9" i="5" s="1"/>
  <c r="E8" i="5" a="1"/>
  <c r="E8" i="5" s="1"/>
  <c r="E13" i="5" a="1"/>
  <c r="E13" i="5" s="1"/>
  <c r="H7" i="5" a="1"/>
  <c r="H7" i="5" s="1"/>
  <c r="I12" i="5"/>
  <c r="H9" i="5" a="1"/>
  <c r="H9" i="5" s="1"/>
  <c r="B10" i="5" a="1"/>
  <c r="B10" i="5" s="1"/>
  <c r="A10" i="5" s="1"/>
  <c r="H10" i="5" a="1"/>
  <c r="H10" i="5" s="1"/>
  <c r="I7" i="5"/>
  <c r="A17" i="4"/>
  <c r="J2" i="5" s="1"/>
  <c r="I6" i="5"/>
  <c r="H4" i="5" a="1"/>
  <c r="H4" i="5" s="1"/>
  <c r="I5" i="5"/>
  <c r="I3" i="5"/>
  <c r="E5" i="5" a="1"/>
  <c r="E5" i="5" s="1"/>
  <c r="B5" i="5" a="1"/>
  <c r="B5" i="5" s="1"/>
  <c r="A5" i="5" s="1"/>
  <c r="H6" i="5" a="1"/>
  <c r="H6" i="5" s="1"/>
  <c r="B4" i="5" a="1"/>
  <c r="B4" i="5" s="1"/>
  <c r="A4" i="5" s="1"/>
  <c r="B3" i="5" a="1"/>
  <c r="B3" i="5" s="1"/>
  <c r="A3" i="5" s="1"/>
  <c r="I4" i="5"/>
  <c r="H5" i="5" a="1"/>
  <c r="H5" i="5" s="1"/>
  <c r="E6" i="5" a="1"/>
  <c r="E6" i="5" s="1"/>
  <c r="B6" i="5" a="1"/>
  <c r="B6" i="5" s="1"/>
  <c r="A6" i="5" s="1"/>
  <c r="E3" i="5" a="1"/>
  <c r="E3" i="5" s="1"/>
  <c r="H3" i="5" a="1"/>
  <c r="H3" i="5" s="1"/>
  <c r="E4" i="5" a="1"/>
  <c r="E4" i="5" s="1"/>
  <c r="I2" i="5"/>
  <c r="F9" i="4"/>
  <c r="F10" i="4"/>
  <c r="D4" i="5" l="1"/>
  <c r="C4" i="5"/>
  <c r="D11" i="5"/>
  <c r="C11" i="5"/>
  <c r="G6" i="5"/>
  <c r="F6" i="5"/>
  <c r="G5" i="5"/>
  <c r="F5" i="5"/>
  <c r="D8" i="5"/>
  <c r="C8" i="5"/>
  <c r="G4" i="5"/>
  <c r="F4" i="5"/>
  <c r="G8" i="5"/>
  <c r="F8" i="5"/>
  <c r="G10" i="5"/>
  <c r="F10" i="5"/>
  <c r="G3" i="5"/>
  <c r="F3" i="5"/>
  <c r="G9" i="5"/>
  <c r="F9" i="5"/>
  <c r="D13" i="5"/>
  <c r="C13" i="5"/>
  <c r="D6" i="5"/>
  <c r="C6" i="5"/>
  <c r="G12" i="5"/>
  <c r="F12" i="5"/>
  <c r="D7" i="5"/>
  <c r="C7" i="5"/>
  <c r="D5" i="5"/>
  <c r="C5" i="5"/>
  <c r="G7" i="5"/>
  <c r="F7" i="5"/>
  <c r="G13" i="5"/>
  <c r="F13" i="5"/>
  <c r="D3" i="5"/>
  <c r="C3" i="5"/>
  <c r="D10" i="5"/>
  <c r="C10" i="5"/>
  <c r="D9" i="5"/>
  <c r="C9" i="5"/>
  <c r="G11" i="5"/>
  <c r="F11" i="5"/>
  <c r="D12" i="5"/>
  <c r="C12" i="5"/>
  <c r="E2" i="5" a="1"/>
  <c r="E2" i="5" s="1"/>
  <c r="B2" i="5" a="1"/>
  <c r="B2" i="5" s="1"/>
  <c r="A2" i="5" s="1"/>
  <c r="H2" i="5" a="1"/>
  <c r="H2" i="5" s="1"/>
  <c r="D2" i="5" l="1"/>
  <c r="C2" i="5"/>
  <c r="G2" i="5"/>
  <c r="F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7426A4-65CA-4377-8970-301966D94BD0}" name="Connection1" type="6" refreshedVersion="0" background="1">
    <textPr sourceFile="" tab="0" comma="1">
      <textFields>
        <textField/>
      </textFields>
    </textPr>
  </connection>
  <connection id="2" xr16:uid="{7C7D5E6F-1C6F-41AA-9EC9-35BB80E93C90}" name="Connection2" type="6" refreshedVersion="0" background="1">
    <textPr sourceFile="" tab="0" comma="1">
      <textFields>
        <textField/>
      </textFields>
    </textPr>
  </connection>
  <connection id="3" xr16:uid="{AB6EE1D9-3EB7-4F55-B391-E2B1CAC9B4F2}" name="Connection3" type="6" refreshedVersion="0" background="1">
    <textPr sourceFile="" tab="0" comma="1">
      <textFields>
        <textField/>
      </textFields>
    </textPr>
  </connection>
  <connection id="4" xr16:uid="{95A867AA-15CF-4240-8C5B-5832F9F9E641}" name="cost_data" type="6" refreshedVersion="8" background="1" saveData="1">
    <textPr prompt="0" sourceFile="C:\Users\Chris the Great\Downloads\cost_data.csv" comma="1">
      <textFields>
        <textField/>
      </textFields>
    </textPr>
  </connection>
  <connection id="5" xr16:uid="{B6C56CDB-0474-4930-8624-87C2A1FEECFA}" name="cost_data1" type="6" refreshedVersion="8" background="1" saveData="1">
    <textPr prompt="0" sourceFile="C:\Users\Chris the Great\Downloads\cost_data.csv" comma="1">
      <textFields>
        <textField/>
      </textFields>
    </textPr>
  </connection>
  <connection id="6" xr16:uid="{803EBFEC-C22B-4935-BA35-7A3F57785406}" name="demand_data" type="6" refreshedVersion="8" background="1" saveData="1">
    <textPr prompt="0" sourceFile="C:\Users\Chris the Great\Downloads\demand_data.csv" comma="1">
      <textFields>
        <textField/>
      </textFields>
    </textPr>
  </connection>
  <connection id="7" xr16:uid="{77B33758-BDC2-4BAB-9BA8-FF9FA6A15FA1}" name="demand_data1" type="6" refreshedVersion="8" background="1" saveData="1">
    <textPr prompt="0" sourceFile="C:\Users\Chris the Great\Downloads\demand_data.csv" comma="1">
      <textFields>
        <textField/>
      </textFields>
    </textPr>
  </connection>
  <connection id="8" xr16:uid="{813D4332-2B6B-43F5-B747-7AAEF8253A04}" name="demand_data2" type="6" refreshedVersion="8" background="1" saveData="1">
    <textPr prompt="0" sourceFile="C:\Users\Chris the Great\Downloads\demand_data.csv" comma="1">
      <textFields>
        <textField/>
      </textFields>
    </textPr>
  </connection>
  <connection id="9" xr16:uid="{EB535144-46F4-4137-9DA8-C778CF5FBB23}" name="drivers_data" type="6" refreshedVersion="8" background="1" saveData="1">
    <textPr prompt="0" sourceFile="C:\Users\Chris the Great\Downloads\drivers_data.csv" comma="1">
      <textFields>
        <textField/>
      </textFields>
    </textPr>
  </connection>
  <connection id="10" xr16:uid="{A97C5AD3-64DA-48DC-AA5D-71B35C80C16B}" name="drivers_data1" type="6" refreshedVersion="8" background="1" saveData="1">
    <textPr prompt="0" sourceFile="C:\Users\Chris the Great\Downloads\drivers_data.csv" comma="1">
      <textFields>
        <textField/>
      </textFields>
    </textPr>
  </connection>
  <connection id="11" xr16:uid="{28EDCF23-48E8-4EBE-9F10-DD02517FE588}" keepAlive="1" name="Query - supply_data" description="Connection to the 'supply_data' query in the workbook." type="5" refreshedVersion="8" background="1" saveData="1">
    <dbPr connection="Provider=Microsoft.Mashup.OleDb.1;Data Source=$Workbook$;Location=supply_data;Extended Properties=&quot;&quot;" command="SELECT * FROM [supply_data]"/>
  </connection>
  <connection id="12" xr16:uid="{CAFECE5E-6A69-4F9F-B62A-361D76986088}" name="supply_data" type="6" refreshedVersion="8" background="1" saveData="1">
    <textPr prompt="0" sourceFile="C:\Users\Chris the Great\Downloads\supply_data.csv" comma="1">
      <textFields>
        <textField/>
      </textFields>
    </textPr>
  </connection>
  <connection id="13" xr16:uid="{BF6EEDD7-495C-4A7F-AAE8-6D98908C21F2}" name="supply_data1" type="6" refreshedVersion="8" background="1" saveData="1">
    <textPr prompt="0" sourceFile="C:\Users\Chris the Great\Downloads\supply_data.csv" comma="1">
      <textFields>
        <textField/>
      </textFields>
    </textPr>
  </connection>
  <connection id="14" xr16:uid="{6348F28A-10DA-47C3-A1F9-EF5658CBDCA1}" name="supply_data2" type="6" refreshedVersion="8" background="1" saveData="1">
    <textPr prompt="0" sourceFile="C:\Users\Chris the Great\Downloads\supply_data.csv" comma="1">
      <textFields>
        <textField/>
      </textFields>
    </textPr>
  </connection>
  <connection id="15" xr16:uid="{12907B9A-5674-4DBF-8227-AEC55F9C1E23}" name="supply_data3" type="6" refreshedVersion="8" background="1" saveData="1">
    <textPr prompt="0" sourceFile="C:\Users\Chris the Great\Downloads\supply_data.csv" comma="1">
      <textFields>
        <textField/>
      </textFields>
    </textPr>
  </connection>
  <connection id="16" xr16:uid="{B0F53251-8896-4990-AC88-8F9B3AC500A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7" xr16:uid="{8AB16416-C510-4B79-8AE4-7EA5F4B7F8CF}" name="WorksheetConnection_Application!$K$1:$P$664" type="102" refreshedVersion="8" minRefreshableVersion="5">
    <extLst>
      <ext xmlns:x15="http://schemas.microsoft.com/office/spreadsheetml/2010/11/main" uri="{DE250136-89BD-433C-8126-D09CA5730AF9}">
        <x15:connection id="Range 5">
          <x15:rangePr sourceName="_xlcn.WorksheetConnection_ApplicationK1P664"/>
        </x15:connection>
      </ext>
    </extLst>
  </connection>
  <connection id="18" xr16:uid="{B679A7B8-806D-4747-9AB8-907E25C4D719}" name="WorksheetConnection_Application!$K$1:$Q$664" type="102" refreshedVersion="8" minRefreshableVersion="5">
    <extLst>
      <ext xmlns:x15="http://schemas.microsoft.com/office/spreadsheetml/2010/11/main" uri="{DE250136-89BD-433C-8126-D09CA5730AF9}">
        <x15:connection id="Range 6">
          <x15:rangePr sourceName="_xlcn.WorksheetConnection_ApplicationK1Q664"/>
        </x15:connection>
      </ext>
    </extLst>
  </connection>
  <connection id="19" xr16:uid="{9DA07602-B11E-4E24-A36E-BD2EF8D666EB}" name="WorksheetConnection_Sheet1!$A$1:$B$3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Sheet1A1B3"/>
        </x15:connection>
      </ext>
    </extLst>
  </connection>
  <connection id="20" xr16:uid="{E64185F5-F2A9-4DB1-BC42-526BD86162DA}" name="WorksheetConnection_Sheet1!$A$1:$C$6" type="102" refreshedVersion="8" minRefreshableVersion="5">
    <extLst>
      <ext xmlns:x15="http://schemas.microsoft.com/office/spreadsheetml/2010/11/main" uri="{DE250136-89BD-433C-8126-D09CA5730AF9}">
        <x15:connection id="Range 1">
          <x15:rangePr sourceName="_xlcn.WorksheetConnection_Sheet1A1C6"/>
        </x15:connection>
      </ext>
    </extLst>
  </connection>
  <connection id="21" xr16:uid="{EA57B012-FE93-4284-B918-BF2013873170}" name="WorksheetConnection_Sheet1!$A$12:$B$42" type="102" refreshedVersion="8" minRefreshableVersion="5">
    <extLst>
      <ext xmlns:x15="http://schemas.microsoft.com/office/spreadsheetml/2010/11/main" uri="{DE250136-89BD-433C-8126-D09CA5730AF9}">
        <x15:connection id="Range 2">
          <x15:rangePr sourceName="_xlcn.WorksheetConnection_Sheet1A12B42"/>
        </x15:connection>
      </ext>
    </extLst>
  </connection>
  <connection id="22" xr16:uid="{55BE2876-FEEE-470B-BA25-0F0151E07AD7}" name="WorksheetConnection_Sheet1!$A$12:$C$42" type="102" refreshedVersion="8" minRefreshableVersion="5">
    <extLst>
      <ext xmlns:x15="http://schemas.microsoft.com/office/spreadsheetml/2010/11/main" uri="{DE250136-89BD-433C-8126-D09CA5730AF9}">
        <x15:connection id="Range 3">
          <x15:rangePr sourceName="_xlcn.WorksheetConnection_Sheet1A12C42"/>
        </x15:connection>
      </ext>
    </extLst>
  </connection>
  <connection id="23" xr16:uid="{9728FEB8-204F-4089-BBBB-D0BF002A1B80}" name="WorksheetConnection_Sheet3!$D$7:$E$27" type="102" refreshedVersion="8" minRefreshableVersion="5">
    <extLst>
      <ext xmlns:x15="http://schemas.microsoft.com/office/spreadsheetml/2010/11/main" uri="{DE250136-89BD-433C-8126-D09CA5730AF9}">
        <x15:connection id="Range 4">
          <x15:rangePr sourceName="_xlcn.WorksheetConnection_Sheet3D7E27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<sst xmlns="http://schemas.openxmlformats.org/spreadsheetml/2006/main" count="2110" uniqueCount="64">
  <si>
    <t>Latitude</t>
  </si>
  <si>
    <t>Longitude</t>
  </si>
  <si>
    <t>Location</t>
  </si>
  <si>
    <t>Supply</t>
  </si>
  <si>
    <t>Demand</t>
  </si>
  <si>
    <t>client1</t>
  </si>
  <si>
    <t>client2</t>
  </si>
  <si>
    <t>Working Hours</t>
  </si>
  <si>
    <t>Max Load (units)</t>
  </si>
  <si>
    <t>Driver1</t>
  </si>
  <si>
    <t>Driver2</t>
  </si>
  <si>
    <t>s1c1d1</t>
  </si>
  <si>
    <t>s1c1d2</t>
  </si>
  <si>
    <t>s2c1d1</t>
  </si>
  <si>
    <t>s1c2d1</t>
  </si>
  <si>
    <t>s2c2d1</t>
  </si>
  <si>
    <t>s2c2d2</t>
  </si>
  <si>
    <t>s2c1d2</t>
  </si>
  <si>
    <t>s1c2d2</t>
  </si>
  <si>
    <t>supply1</t>
  </si>
  <si>
    <t>supply2</t>
  </si>
  <si>
    <t>driver1</t>
  </si>
  <si>
    <t>driver2</t>
  </si>
  <si>
    <t>s1c3d1</t>
  </si>
  <si>
    <t>s2c3d1</t>
  </si>
  <si>
    <t>s1c3d2</t>
  </si>
  <si>
    <t>c2c3d2</t>
  </si>
  <si>
    <t>client3</t>
  </si>
  <si>
    <t>Supplier1</t>
  </si>
  <si>
    <t>Supplier2</t>
  </si>
  <si>
    <t>Driver</t>
  </si>
  <si>
    <t>Decision Variables</t>
  </si>
  <si>
    <t>Constraints</t>
  </si>
  <si>
    <t>Capacity</t>
  </si>
  <si>
    <t>Link</t>
  </si>
  <si>
    <t>Objective</t>
  </si>
  <si>
    <t>Travel Time</t>
  </si>
  <si>
    <t>Hours</t>
  </si>
  <si>
    <t>Results</t>
  </si>
  <si>
    <t>s1</t>
  </si>
  <si>
    <t>s2</t>
  </si>
  <si>
    <t>c2</t>
  </si>
  <si>
    <t>c1</t>
  </si>
  <si>
    <t>c3</t>
  </si>
  <si>
    <t>d1</t>
  </si>
  <si>
    <t>d2</t>
  </si>
  <si>
    <t>Supply data</t>
  </si>
  <si>
    <t>Demand data</t>
  </si>
  <si>
    <t>Drivers data</t>
  </si>
  <si>
    <t>Suppliers</t>
  </si>
  <si>
    <t>Clients</t>
  </si>
  <si>
    <t>Drivers</t>
  </si>
  <si>
    <t>Longtitude</t>
  </si>
  <si>
    <t>Quantity</t>
  </si>
  <si>
    <t>No Routes</t>
  </si>
  <si>
    <t>Unique ID</t>
  </si>
  <si>
    <t>Unique Routes</t>
  </si>
  <si>
    <t>No ID</t>
  </si>
  <si>
    <t>Step 1: Import the necessary datasets.</t>
  </si>
  <si>
    <t>Step 2: Optimize.</t>
  </si>
  <si>
    <t>Step 3: Select columns K1:QLastNonEmptyRow and initialize the 3D Map.</t>
  </si>
  <si>
    <t>Step 4: Bring the Latitude and Longitude to the Location field, Unique Routes to the Category field,</t>
  </si>
  <si>
    <t>under Layer Options click Data Card Customize</t>
  </si>
  <si>
    <t xml:space="preserve"> and choose the Suppliers, Clients, Drivers and Quantity (Sum) attributes.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</si>
</sst>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1F2328"/>
      <name val="Segoe UI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2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205740</xdr:colOff>
          <xdr:row>8</xdr:row>
          <xdr:rowOff>160020</xdr:rowOff>
        </xdr:from>
        <xdr:to>
          <xdr:col>7</xdr:col>
          <xdr:colOff>106680</xdr:colOff>
          <xdr:row>12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167640</xdr:rowOff>
        </xdr:from>
        <xdr:to>
          <xdr:col>3</xdr:col>
          <xdr:colOff>403860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Datasets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8" xr16:uid="{90CB7F0D-890B-4EE0-BE32-1904D1A197C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4" xr16:uid="{CF1A6898-3C2C-4BA6-910D-80E7BDB636B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6" xr16:uid="{E2B1AA5B-B365-4E0A-84B4-C221D97D445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5" xr16:uid="{2E7989D5-BF7D-4AAB-B5EA-37476F759951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71111358-216E-4A1D-A31E-A91B76B06279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" xr16:uid="{9B9D79EE-6D85-4C09-B6CF-867432E05EE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8E17FBE0-9406-4BA7-AC42-C4B9EBB07A3A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9" xr16:uid="{B0C14F50-AEA2-431C-AC3E-77484E59C3C5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5" xr16:uid="{2817DA80-9A73-467A-A711-026039C3AFD7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0" xr16:uid="{5D8BDCDD-119B-40CF-82A0-CA885D0032E1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7" xr16:uid="{AFBEEA13-2423-40B6-8E66-A159E74EBF6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52C5-9A45-47A8-96C0-CC60807EF837}">
  <sheetPr codeName="Sheet4"/>
  <dimension ref="A1:Q664"/>
  <sheetViews>
    <sheetView tabSelected="1" workbookViewId="0">
      <selection activeCell="J14" sqref="J14"/>
    </sheetView>
  </sheetViews>
  <sheetFormatPr defaultRowHeight="14.4" x14ac:dyDescent="0.3"/>
  <cols>
    <col min="1" max="1" width="9.88671875" customWidth="1"/>
    <col min="8" max="8" width="11.6640625" customWidth="1"/>
  </cols>
  <sheetData>
    <row r="1" spans="1:17" x14ac:dyDescent="0.3">
      <c r="A1" t="s">
        <v>54</v>
      </c>
      <c r="B1" t="s">
        <v>49</v>
      </c>
      <c r="C1" t="s">
        <v>0</v>
      </c>
      <c r="D1" t="s">
        <v>52</v>
      </c>
      <c r="E1" t="s">
        <v>50</v>
      </c>
      <c r="F1" t="s">
        <v>0</v>
      </c>
      <c r="G1" t="s">
        <v>52</v>
      </c>
      <c r="H1" t="s">
        <v>51</v>
      </c>
      <c r="I1" t="s">
        <v>53</v>
      </c>
      <c r="J1" t="s">
        <v>55</v>
      </c>
      <c r="K1" t="s">
        <v>49</v>
      </c>
      <c r="L1" t="s">
        <v>0</v>
      </c>
      <c r="M1" t="s">
        <v>1</v>
      </c>
      <c r="N1" t="s">
        <v>50</v>
      </c>
      <c r="O1" t="s">
        <v>51</v>
      </c>
      <c r="P1" t="s">
        <v>53</v>
      </c>
      <c r="Q1" t="s">
        <v>56</v>
      </c>
    </row>
    <row r="2" spans="1:17" x14ac:dyDescent="0.3">
      <c r="A2">
        <f>IF(B2&lt;&gt;"",1,"")</f>
        <v>1</v>
      </c>
      <c r="B2" t="str" cm="1">
        <f t="array" ref="B2">IFERROR(INDEX('Extra Information'!$A$2:$A$3,MATCH(LEFT(Model!A17,2),'Extra Information'!$B$2:$B$3,0),),"")</f>
        <v>Supplier1</v>
      </c>
      <c r="C2">
        <f>IFERROR(VLOOKUP(B2,Datasets!$A$1:$B$3,2,),"")</f>
        <v>40.669042061302299</v>
      </c>
      <c r="D2">
        <f>IFERROR(VLOOKUP(B2,Datasets!$A$1:$C$3,3,),"")</f>
        <v>22.935254409686799</v>
      </c>
      <c r="E2" t="str" cm="1">
        <f t="array" ref="E2">IFERROR(INDEX('Extra Information'!$C$2:$C$4,MATCH(MID(Model!A17,3,2),'Extra Information'!$D$2:$D$4,0),),"")</f>
        <v>client1</v>
      </c>
      <c r="F2">
        <f>IFERROR(VLOOKUP(E2,Datasets!$E$1:$F$4,2,),"")</f>
        <v>40.692996332357197</v>
      </c>
      <c r="G2">
        <f>IFERROR(VLOOKUP(E2,Datasets!$E$1:$G$4,3,),"")</f>
        <v>22.8494452567924</v>
      </c>
      <c r="H2" t="str" cm="1">
        <f t="array" ref="H2">IFERROR(INDEX('Extra Information'!$E$2:$E$3,MATCH(RIGHT(Model!A17,2),'Extra Information'!$F$2:$F$3,0),),"")</f>
        <v>driver1</v>
      </c>
      <c r="I2">
        <f>IF(Model!B17&lt;&gt;0,Model!B17,"")</f>
        <v>20</v>
      </c>
      <c r="J2">
        <f>IFERROR(VLOOKUP(Model!A17,'Extra Information'!I1:J13,2,0),"")</f>
        <v>1</v>
      </c>
      <c r="K2" t="s">
        <v>28</v>
      </c>
      <c r="L2">
        <v>40.669091999999999</v>
      </c>
      <c r="M2">
        <v>22.935068000000001</v>
      </c>
      <c r="N2" t="s">
        <v>5</v>
      </c>
      <c r="O2" t="s">
        <v>21</v>
      </c>
      <c r="P2">
        <v>20</v>
      </c>
      <c r="Q2">
        <v>1</v>
      </c>
    </row>
    <row r="3" spans="1:17" x14ac:dyDescent="0.3">
      <c r="A3">
        <f>IF(B3&lt;&gt;"",2,"")</f>
        <v>2</v>
      </c>
      <c r="B3" t="str" cm="1">
        <f t="array" ref="B3">IFERROR(INDEX('Extra Information'!$A$2:$A$3,MATCH(LEFT(Model!A18,2),'Extra Information'!$B$2:$B$3,0),),"")</f>
        <v>Supplier1</v>
      </c>
      <c r="C3">
        <f>IFERROR(VLOOKUP(B3,Datasets!$A$1:$B$3,2,),"")</f>
        <v>40.669042061302299</v>
      </c>
      <c r="D3">
        <f>IFERROR(VLOOKUP(B3,Datasets!$A$1:$C$3,3,),"")</f>
        <v>22.935254409686799</v>
      </c>
      <c r="E3" t="str" cm="1">
        <f t="array" ref="E3">IFERROR(INDEX('Extra Information'!$C$2:$C$4,MATCH(MID(Model!A18,3,2),'Extra Information'!$D$2:$D$4,0),),"")</f>
        <v>client2</v>
      </c>
      <c r="F3">
        <f>IFERROR(VLOOKUP(E3,Datasets!$E$1:$F$4,2,),"")</f>
        <v>40.678164555406397</v>
      </c>
      <c r="G3">
        <f>IFERROR(VLOOKUP(E3,Datasets!$E$1:$G$4,3,),"")</f>
        <v>22.9015611327413</v>
      </c>
      <c r="H3" t="str" cm="1">
        <f t="array" ref="H3">IFERROR(INDEX('Extra Information'!$E$2:$E$3,MATCH(RIGHT(Model!A18,2),'Extra Information'!$F$2:$F$3,0),),"")</f>
        <v>driver1</v>
      </c>
      <c r="I3">
        <f>IF(Model!B18&lt;&gt;0,Model!B18,"")</f>
        <v>20</v>
      </c>
      <c r="J3">
        <f>IFERROR(VLOOKUP(Model!A18,'Extra Information'!I2:J14,2,0),"")</f>
        <v>3</v>
      </c>
      <c r="K3" t="s">
        <v>28</v>
      </c>
      <c r="L3">
        <v>40.669280000000001</v>
      </c>
      <c r="M3">
        <v>22.935155000000002</v>
      </c>
      <c r="N3" t="s">
        <v>5</v>
      </c>
      <c r="O3" t="s">
        <v>21</v>
      </c>
      <c r="P3">
        <v>20</v>
      </c>
      <c r="Q3">
        <v>1</v>
      </c>
    </row>
    <row r="4" spans="1:17" x14ac:dyDescent="0.3">
      <c r="A4">
        <f>IF(B4&lt;&gt;"",3,"")</f>
        <v>3</v>
      </c>
      <c r="B4" t="str" cm="1">
        <f t="array" ref="B4">IFERROR(INDEX('Extra Information'!$A$2:$A$3,MATCH(LEFT(Model!A19,2),'Extra Information'!$B$2:$B$3,0),),"")</f>
        <v>Supplier1</v>
      </c>
      <c r="C4">
        <f>IFERROR(VLOOKUP(B4,Datasets!$A$1:$B$3,2,),"")</f>
        <v>40.669042061302299</v>
      </c>
      <c r="D4">
        <f>IFERROR(VLOOKUP(B4,Datasets!$A$1:$C$3,3,),"")</f>
        <v>22.935254409686799</v>
      </c>
      <c r="E4" t="str" cm="1">
        <f t="array" ref="E4">IFERROR(INDEX('Extra Information'!$C$2:$C$4,MATCH(MID(Model!A19,3,2),'Extra Information'!$D$2:$D$4,0),),"")</f>
        <v>client1</v>
      </c>
      <c r="F4">
        <f>IFERROR(VLOOKUP(E4,Datasets!$E$1:$F$4,2,),"")</f>
        <v>40.692996332357197</v>
      </c>
      <c r="G4">
        <f>IFERROR(VLOOKUP(E4,Datasets!$E$1:$G$4,3,),"")</f>
        <v>22.8494452567924</v>
      </c>
      <c r="H4" t="str" cm="1">
        <f t="array" ref="H4">IFERROR(INDEX('Extra Information'!$E$2:$E$3,MATCH(RIGHT(Model!A19,2),'Extra Information'!$F$2:$F$3,0),),"")</f>
        <v>driver2</v>
      </c>
      <c r="I4">
        <f>IF(Model!B19&lt;&gt;0,Model!B19,"")</f>
        <v>20</v>
      </c>
      <c r="J4">
        <f>IFERROR(VLOOKUP(Model!A19,'Extra Information'!I3:J15,2,0),"")</f>
        <v>1</v>
      </c>
      <c r="K4" t="s">
        <v>28</v>
      </c>
      <c r="L4">
        <v>40.669241</v>
      </c>
      <c r="M4">
        <v>22.935576999999999</v>
      </c>
      <c r="N4" t="s">
        <v>5</v>
      </c>
      <c r="O4" t="s">
        <v>21</v>
      </c>
      <c r="P4">
        <v>20</v>
      </c>
      <c r="Q4">
        <v>1</v>
      </c>
    </row>
    <row r="5" spans="1:17" x14ac:dyDescent="0.3">
      <c r="A5">
        <f>IF(B5&lt;&gt;"",4,"")</f>
        <v>4</v>
      </c>
      <c r="B5" t="str" cm="1">
        <f t="array" ref="B5">IFERROR(INDEX('Extra Information'!$A$2:$A$3,MATCH(LEFT(Model!A20,2),'Extra Information'!$B$2:$B$3,0),),"")</f>
        <v>Supplier1</v>
      </c>
      <c r="C5">
        <f>IFERROR(VLOOKUP(B5,Datasets!$A$1:$B$3,2,),"")</f>
        <v>40.669042061302299</v>
      </c>
      <c r="D5">
        <f>IFERROR(VLOOKUP(B5,Datasets!$A$1:$C$3,3,),"")</f>
        <v>22.935254409686799</v>
      </c>
      <c r="E5" t="str" cm="1">
        <f t="array" ref="E5">IFERROR(INDEX('Extra Information'!$C$2:$C$4,MATCH(MID(Model!A20,3,2),'Extra Information'!$D$2:$D$4,0),),"")</f>
        <v>client3</v>
      </c>
      <c r="F5">
        <f>IFERROR(VLOOKUP(E5,Datasets!$E$1:$F$4,2,),"")</f>
        <v>40.677383440594703</v>
      </c>
      <c r="G5">
        <f>IFERROR(VLOOKUP(E5,Datasets!$E$1:$G$4,3,),"")</f>
        <v>22.9386399901631</v>
      </c>
      <c r="H5" t="str" cm="1">
        <f t="array" ref="H5">IFERROR(INDEX('Extra Information'!$E$2:$E$3,MATCH(RIGHT(Model!A20,2),'Extra Information'!$F$2:$F$3,0),),"")</f>
        <v>driver1</v>
      </c>
      <c r="I5">
        <f>IF(Model!B20&lt;&gt;0,Model!B20,"")</f>
        <v>20</v>
      </c>
      <c r="J5">
        <f>IFERROR(VLOOKUP(Model!A20,'Extra Information'!I4:J16,2,0),"")</f>
        <v>5</v>
      </c>
      <c r="K5" t="s">
        <v>28</v>
      </c>
      <c r="L5">
        <v>40.669223000000002</v>
      </c>
      <c r="M5">
        <v>22.935787000000001</v>
      </c>
      <c r="N5" t="s">
        <v>5</v>
      </c>
      <c r="O5" t="s">
        <v>21</v>
      </c>
      <c r="P5">
        <v>20</v>
      </c>
      <c r="Q5">
        <v>1</v>
      </c>
    </row>
    <row r="6" spans="1:17" x14ac:dyDescent="0.3">
      <c r="A6">
        <f>IF(B6&lt;&gt;"",5,"")</f>
        <v>5</v>
      </c>
      <c r="B6" t="str" cm="1">
        <f t="array" ref="B6">IFERROR(INDEX('Extra Information'!$A$2:$A$3,MATCH(LEFT(Model!A21,2),'Extra Information'!$B$2:$B$3,0),),"")</f>
        <v>Supplier1</v>
      </c>
      <c r="C6">
        <f>IFERROR(VLOOKUP(B6,Datasets!$A$1:$B$3,2,),"")</f>
        <v>40.669042061302299</v>
      </c>
      <c r="D6">
        <f>IFERROR(VLOOKUP(B6,Datasets!$A$1:$C$3,3,),"")</f>
        <v>22.935254409686799</v>
      </c>
      <c r="E6" t="str" cm="1">
        <f t="array" ref="E6">IFERROR(INDEX('Extra Information'!$C$2:$C$4,MATCH(MID(Model!A21,3,2),'Extra Information'!$D$2:$D$4,0),),"")</f>
        <v>client3</v>
      </c>
      <c r="F6">
        <f>IFERROR(VLOOKUP(E6,Datasets!$E$1:$F$4,2,),"")</f>
        <v>40.677383440594703</v>
      </c>
      <c r="G6">
        <f>IFERROR(VLOOKUP(E6,Datasets!$E$1:$G$4,3,),"")</f>
        <v>22.9386399901631</v>
      </c>
      <c r="H6" t="str" cm="1">
        <f t="array" ref="H6">IFERROR(INDEX('Extra Information'!$E$2:$E$3,MATCH(RIGHT(Model!A21,2),'Extra Information'!$F$2:$F$3,0),),"")</f>
        <v>driver2</v>
      </c>
      <c r="I6">
        <f>IF(Model!B21&lt;&gt;0,Model!B21,"")</f>
        <v>10</v>
      </c>
      <c r="J6">
        <f>IFERROR(VLOOKUP(Model!A21,'Extra Information'!I5:J17,2,0),"")</f>
        <v>5</v>
      </c>
      <c r="K6" t="s">
        <v>28</v>
      </c>
      <c r="L6">
        <v>40.669355000000003</v>
      </c>
      <c r="M6">
        <v>22.935818000000001</v>
      </c>
      <c r="N6" t="s">
        <v>5</v>
      </c>
      <c r="O6" t="s">
        <v>21</v>
      </c>
      <c r="P6">
        <v>20</v>
      </c>
      <c r="Q6">
        <v>1</v>
      </c>
    </row>
    <row r="7" spans="1:17" x14ac:dyDescent="0.3">
      <c r="A7" t="str">
        <f>IF(B7&lt;&gt;"",6,"")</f>
        <v/>
      </c>
      <c r="B7" t="str" cm="1">
        <f t="array" ref="B7">IFERROR(INDEX('Extra Information'!$A$2:$A$3,MATCH(LEFT(Model!A22,2),'Extra Information'!$B$2:$B$3,0),),"")</f>
        <v/>
      </c>
      <c r="C7" t="str">
        <f>IFERROR(VLOOKUP(B7,Datasets!$A$1:$B$3,2,),"")</f>
        <v/>
      </c>
      <c r="D7" t="str">
        <f>IFERROR(VLOOKUP(B7,Datasets!$A$1:$C$3,3,),"")</f>
        <v/>
      </c>
      <c r="E7" t="str" cm="1">
        <f t="array" ref="E7">IFERROR(INDEX('Extra Information'!$C$2:$C$4,MATCH(MID(Model!A22,3,2),'Extra Information'!$D$2:$D$4,0),),"")</f>
        <v/>
      </c>
      <c r="F7" t="str">
        <f>IFERROR(VLOOKUP(E7,Datasets!$E$1:$F$4,2,),"")</f>
        <v/>
      </c>
      <c r="G7" t="str">
        <f>IFERROR(VLOOKUP(E7,Datasets!$E$1:$G$4,3,),"")</f>
        <v/>
      </c>
      <c r="H7" t="str" cm="1">
        <f t="array" ref="H7">IFERROR(INDEX('Extra Information'!$E$2:$E$3,MATCH(RIGHT(Model!A22,2),'Extra Information'!$F$2:$F$3,0),),"")</f>
        <v/>
      </c>
      <c r="I7" t="str">
        <f>IF(Model!B22&lt;&gt;0,Model!B22,"")</f>
        <v/>
      </c>
      <c r="J7" t="str">
        <f>IFERROR(VLOOKUP(Model!A22,'Extra Information'!I6:J18,2,0),"")</f>
        <v/>
      </c>
      <c r="K7" t="s">
        <v>28</v>
      </c>
      <c r="L7">
        <v>40.669384000000001</v>
      </c>
      <c r="M7">
        <v>22.935797999999998</v>
      </c>
      <c r="N7" t="s">
        <v>5</v>
      </c>
      <c r="O7" t="s">
        <v>21</v>
      </c>
      <c r="P7">
        <v>20</v>
      </c>
      <c r="Q7">
        <v>1</v>
      </c>
    </row>
    <row r="8" spans="1:17" x14ac:dyDescent="0.3">
      <c r="A8" t="str">
        <f>IF(B8&lt;&gt;"",7,"")</f>
        <v/>
      </c>
      <c r="B8" t="str" cm="1">
        <f t="array" ref="B8">IFERROR(INDEX('Extra Information'!$A$2:$A$3,MATCH(LEFT(Model!A23,2),'Extra Information'!$B$2:$B$3,0),),"")</f>
        <v/>
      </c>
      <c r="C8" t="str">
        <f>IFERROR(VLOOKUP(B8,Datasets!$A$1:$B$3,2,),"")</f>
        <v/>
      </c>
      <c r="D8" t="str">
        <f>IFERROR(VLOOKUP(B8,Datasets!$A$1:$C$3,3,),"")</f>
        <v/>
      </c>
      <c r="E8" t="str" cm="1">
        <f t="array" ref="E8">IFERROR(INDEX('Extra Information'!$C$2:$C$4,MATCH(MID(Model!A23,3,2),'Extra Information'!$D$2:$D$4,0),),"")</f>
        <v/>
      </c>
      <c r="F8" t="str">
        <f>IFERROR(VLOOKUP(E8,Datasets!$E$1:$F$4,2,),"")</f>
        <v/>
      </c>
      <c r="G8" t="str">
        <f>IFERROR(VLOOKUP(E8,Datasets!$E$1:$G$4,3,),"")</f>
        <v/>
      </c>
      <c r="H8" t="str" cm="1">
        <f t="array" ref="H8">IFERROR(INDEX('Extra Information'!$E$2:$E$3,MATCH(RIGHT(Model!A23,2),'Extra Information'!$F$2:$F$3,0),),"")</f>
        <v/>
      </c>
      <c r="I8" t="str">
        <f>IF(Model!B23&lt;&gt;0,Model!B23,"")</f>
        <v/>
      </c>
      <c r="J8" t="str">
        <f>IFERROR(VLOOKUP(Model!A23,'Extra Information'!I7:J19,2,0),"")</f>
        <v/>
      </c>
      <c r="K8" t="s">
        <v>28</v>
      </c>
      <c r="L8">
        <v>40.669533999999999</v>
      </c>
      <c r="M8">
        <v>22.935711999999999</v>
      </c>
      <c r="N8" t="s">
        <v>5</v>
      </c>
      <c r="O8" t="s">
        <v>21</v>
      </c>
      <c r="P8">
        <v>20</v>
      </c>
      <c r="Q8">
        <v>1</v>
      </c>
    </row>
    <row r="9" spans="1:17" x14ac:dyDescent="0.3">
      <c r="A9" t="str">
        <f>IF(B9&lt;&gt;"",8,"")</f>
        <v/>
      </c>
      <c r="B9" t="str" cm="1">
        <f t="array" ref="B9">IFERROR(INDEX('Extra Information'!$A$2:$A$3,MATCH(LEFT(Model!A24,2),'Extra Information'!$B$2:$B$3,0),),"")</f>
        <v/>
      </c>
      <c r="C9" t="str">
        <f>IFERROR(VLOOKUP(B9,Datasets!$A$1:$B$3,2,),"")</f>
        <v/>
      </c>
      <c r="D9" t="str">
        <f>IFERROR(VLOOKUP(B9,Datasets!$A$1:$C$3,3,),"")</f>
        <v/>
      </c>
      <c r="E9" t="str" cm="1">
        <f t="array" ref="E9">IFERROR(INDEX('Extra Information'!$C$2:$C$4,MATCH(MID(Model!A24,3,2),'Extra Information'!$D$2:$D$4,0),),"")</f>
        <v/>
      </c>
      <c r="F9" t="str">
        <f>IFERROR(VLOOKUP(E9,Datasets!$E$1:$F$4,2,),"")</f>
        <v/>
      </c>
      <c r="G9" t="str">
        <f>IFERROR(VLOOKUP(E9,Datasets!$E$1:$G$4,3,),"")</f>
        <v/>
      </c>
      <c r="H9" t="str" cm="1">
        <f t="array" ref="H9">IFERROR(INDEX('Extra Information'!$E$2:$E$3,MATCH(RIGHT(Model!A24,2),'Extra Information'!$F$2:$F$3,0),),"")</f>
        <v/>
      </c>
      <c r="I9" t="str">
        <f>IF(Model!B24&lt;&gt;0,Model!B24,"")</f>
        <v/>
      </c>
      <c r="J9" t="str">
        <f>IFERROR(VLOOKUP(Model!A24,'Extra Information'!I8:J20,2,0),"")</f>
        <v/>
      </c>
      <c r="K9" t="s">
        <v>28</v>
      </c>
      <c r="L9">
        <v>40.669638999999997</v>
      </c>
      <c r="M9">
        <v>22.934968999999999</v>
      </c>
      <c r="N9" t="s">
        <v>5</v>
      </c>
      <c r="O9" t="s">
        <v>21</v>
      </c>
      <c r="P9">
        <v>20</v>
      </c>
      <c r="Q9">
        <v>1</v>
      </c>
    </row>
    <row r="10" spans="1:17" x14ac:dyDescent="0.3">
      <c r="A10" t="str">
        <f>IF(B10&lt;&gt;"",9,"")</f>
        <v/>
      </c>
      <c r="B10" t="str" cm="1">
        <f t="array" ref="B10">IFERROR(INDEX('Extra Information'!$A$2:$A$3,MATCH(LEFT(Model!A25,2),'Extra Information'!$B$2:$B$3,0),),"")</f>
        <v/>
      </c>
      <c r="C10" t="str">
        <f>IFERROR(VLOOKUP(B10,Datasets!$A$1:$B$3,2,),"")</f>
        <v/>
      </c>
      <c r="D10" t="str">
        <f>IFERROR(VLOOKUP(B10,Datasets!$A$1:$C$3,3,),"")</f>
        <v/>
      </c>
      <c r="E10" t="str" cm="1">
        <f t="array" ref="E10">IFERROR(INDEX('Extra Information'!$C$2:$C$4,MATCH(MID(Model!A25,3,2),'Extra Information'!$D$2:$D$4,0),),"")</f>
        <v/>
      </c>
      <c r="F10" t="str">
        <f>IFERROR(VLOOKUP(E10,Datasets!$E$1:$F$4,2,),"")</f>
        <v/>
      </c>
      <c r="G10" t="str">
        <f>IFERROR(VLOOKUP(E10,Datasets!$E$1:$G$4,3,),"")</f>
        <v/>
      </c>
      <c r="H10" t="str" cm="1">
        <f t="array" ref="H10">IFERROR(INDEX('Extra Information'!$E$2:$E$3,MATCH(RIGHT(Model!A25,2),'Extra Information'!$F$2:$F$3,0),),"")</f>
        <v/>
      </c>
      <c r="I10" t="str">
        <f>IF(Model!B25&lt;&gt;0,Model!B25,"")</f>
        <v/>
      </c>
      <c r="J10" t="str">
        <f>IFERROR(VLOOKUP(Model!A25,'Extra Information'!I9:J21,2,0),"")</f>
        <v/>
      </c>
      <c r="K10" t="s">
        <v>28</v>
      </c>
      <c r="L10">
        <v>40.669701000000003</v>
      </c>
      <c r="M10">
        <v>22.934566</v>
      </c>
      <c r="N10" t="s">
        <v>5</v>
      </c>
      <c r="O10" t="s">
        <v>21</v>
      </c>
      <c r="P10">
        <v>20</v>
      </c>
      <c r="Q10">
        <v>1</v>
      </c>
    </row>
    <row r="11" spans="1:17" x14ac:dyDescent="0.3">
      <c r="A11" t="str">
        <f>IF(B11&lt;&gt;"",10,"")</f>
        <v/>
      </c>
      <c r="B11" t="str" cm="1">
        <f t="array" ref="B11">IFERROR(INDEX('Extra Information'!$A$2:$A$3,MATCH(LEFT(Model!A26,2),'Extra Information'!$B$2:$B$3,0),),"")</f>
        <v/>
      </c>
      <c r="C11" t="str">
        <f>IFERROR(VLOOKUP(B11,Datasets!$A$1:$B$3,2,),"")</f>
        <v/>
      </c>
      <c r="D11" t="str">
        <f>IFERROR(VLOOKUP(B11,Datasets!$A$1:$C$3,3,),"")</f>
        <v/>
      </c>
      <c r="E11" t="str" cm="1">
        <f t="array" ref="E11">IFERROR(INDEX('Extra Information'!$C$2:$C$4,MATCH(MID(Model!A26,3,2),'Extra Information'!$D$2:$D$4,0),),"")</f>
        <v/>
      </c>
      <c r="F11" t="str">
        <f>IFERROR(VLOOKUP(E11,Datasets!$E$1:$F$4,2,),"")</f>
        <v/>
      </c>
      <c r="G11" t="str">
        <f>IFERROR(VLOOKUP(E11,Datasets!$E$1:$G$4,3,),"")</f>
        <v/>
      </c>
      <c r="H11" t="str" cm="1">
        <f t="array" ref="H11">IFERROR(INDEX('Extra Information'!$E$2:$E$3,MATCH(RIGHT(Model!A26,2),'Extra Information'!$F$2:$F$3,0),),"")</f>
        <v/>
      </c>
      <c r="I11" t="str">
        <f>IF(Model!B26&lt;&gt;0,Model!B26,"")</f>
        <v/>
      </c>
      <c r="J11" t="str">
        <f>IFERROR(VLOOKUP(Model!A26,'Extra Information'!I10:J22,2,0),"")</f>
        <v/>
      </c>
      <c r="K11" t="s">
        <v>28</v>
      </c>
      <c r="L11">
        <v>40.669845000000002</v>
      </c>
      <c r="M11">
        <v>22.933883000000002</v>
      </c>
      <c r="N11" t="s">
        <v>5</v>
      </c>
      <c r="O11" t="s">
        <v>21</v>
      </c>
      <c r="P11">
        <v>20</v>
      </c>
      <c r="Q11">
        <v>1</v>
      </c>
    </row>
    <row r="12" spans="1:17" x14ac:dyDescent="0.3">
      <c r="A12" t="str">
        <f>IF(B12&lt;&gt;"",11,"")</f>
        <v/>
      </c>
      <c r="B12" t="str" cm="1">
        <f t="array" ref="B12">IFERROR(INDEX('Extra Information'!$A$2:$A$3,MATCH(LEFT(Model!A27,2),'Extra Information'!$B$2:$B$3,0),),"")</f>
        <v/>
      </c>
      <c r="C12" t="str">
        <f>IFERROR(VLOOKUP(B12,Datasets!$A$1:$B$3,2,),"")</f>
        <v/>
      </c>
      <c r="D12" t="str">
        <f>IFERROR(VLOOKUP(B12,Datasets!$A$1:$C$3,3,),"")</f>
        <v/>
      </c>
      <c r="E12" t="str" cm="1">
        <f t="array" ref="E12">IFERROR(INDEX('Extra Information'!$C$2:$C$4,MATCH(MID(Model!A27,3,2),'Extra Information'!$D$2:$D$4,0),),"")</f>
        <v/>
      </c>
      <c r="F12" t="str">
        <f>IFERROR(VLOOKUP(E12,Datasets!$E$1:$F$4,2,),"")</f>
        <v/>
      </c>
      <c r="G12" t="str">
        <f>IFERROR(VLOOKUP(E12,Datasets!$E$1:$G$4,3,),"")</f>
        <v/>
      </c>
      <c r="H12" t="str" cm="1">
        <f t="array" ref="H12">IFERROR(INDEX('Extra Information'!$E$2:$E$3,MATCH(RIGHT(Model!A27,2),'Extra Information'!$F$2:$F$3,0),),"")</f>
        <v/>
      </c>
      <c r="I12" t="str">
        <f>IF(Model!B27&lt;&gt;0,Model!B27,"")</f>
        <v/>
      </c>
      <c r="J12" t="str">
        <f>IFERROR(VLOOKUP(Model!A27,'Extra Information'!I11:J23,2,0),"")</f>
        <v/>
      </c>
      <c r="K12" t="s">
        <v>28</v>
      </c>
      <c r="L12">
        <v>40.66995</v>
      </c>
      <c r="M12">
        <v>22.933240000000001</v>
      </c>
      <c r="N12" t="s">
        <v>5</v>
      </c>
      <c r="O12" t="s">
        <v>21</v>
      </c>
      <c r="P12">
        <v>20</v>
      </c>
      <c r="Q12">
        <v>1</v>
      </c>
    </row>
    <row r="13" spans="1:17" x14ac:dyDescent="0.3">
      <c r="A13" t="str">
        <f>IF(B13&lt;&gt;"",12,"")</f>
        <v/>
      </c>
      <c r="B13" t="str" cm="1">
        <f t="array" ref="B13">IFERROR(INDEX('Extra Information'!$A$2:$A$3,MATCH(LEFT(Model!A28,2),'Extra Information'!$B$2:$B$3,0),),"")</f>
        <v/>
      </c>
      <c r="C13" t="str">
        <f>IFERROR(VLOOKUP(B13,Datasets!$A$1:$B$3,2,),"")</f>
        <v/>
      </c>
      <c r="D13" t="str">
        <f>IFERROR(VLOOKUP(B13,Datasets!$A$1:$C$3,3,),"")</f>
        <v/>
      </c>
      <c r="E13" t="str" cm="1">
        <f t="array" ref="E13">IFERROR(INDEX('Extra Information'!$C$2:$C$4,MATCH(MID(Model!A28,3,2),'Extra Information'!$D$2:$D$4,0),),"")</f>
        <v/>
      </c>
      <c r="F13" t="str">
        <f>IFERROR(VLOOKUP(E13,Datasets!$E$1:$F$4,2,),"")</f>
        <v/>
      </c>
      <c r="G13" t="str">
        <f>IFERROR(VLOOKUP(E13,Datasets!$E$1:$G$4,3,),"")</f>
        <v/>
      </c>
      <c r="H13" t="str" cm="1">
        <f t="array" ref="H13">IFERROR(INDEX('Extra Information'!$E$2:$E$3,MATCH(RIGHT(Model!A28,2),'Extra Information'!$F$2:$F$3,0),),"")</f>
        <v/>
      </c>
      <c r="I13" t="str">
        <f>IF(Model!B28&lt;&gt;0,Model!B28,"")</f>
        <v/>
      </c>
      <c r="J13" t="str">
        <f>IFERROR(VLOOKUP(Model!A28,'Extra Information'!I12:J24,2,0),"")</f>
        <v/>
      </c>
      <c r="K13" t="s">
        <v>28</v>
      </c>
      <c r="L13">
        <v>40.669587999999997</v>
      </c>
      <c r="M13">
        <v>22.933143000000001</v>
      </c>
      <c r="N13" t="s">
        <v>5</v>
      </c>
      <c r="O13" t="s">
        <v>21</v>
      </c>
      <c r="P13">
        <v>20</v>
      </c>
      <c r="Q13">
        <v>1</v>
      </c>
    </row>
    <row r="14" spans="1:17" x14ac:dyDescent="0.3">
      <c r="K14" t="s">
        <v>28</v>
      </c>
      <c r="L14">
        <v>40.669198000000002</v>
      </c>
      <c r="M14">
        <v>22.933038</v>
      </c>
      <c r="N14" t="s">
        <v>5</v>
      </c>
      <c r="O14" t="s">
        <v>21</v>
      </c>
      <c r="P14">
        <v>20</v>
      </c>
      <c r="Q14">
        <v>1</v>
      </c>
    </row>
    <row r="15" spans="1:17" x14ac:dyDescent="0.3">
      <c r="K15" t="s">
        <v>28</v>
      </c>
      <c r="L15">
        <v>40.669102000000002</v>
      </c>
      <c r="M15">
        <v>22.933011</v>
      </c>
      <c r="N15" t="s">
        <v>5</v>
      </c>
      <c r="O15" t="s">
        <v>21</v>
      </c>
      <c r="P15">
        <v>20</v>
      </c>
      <c r="Q15">
        <v>1</v>
      </c>
    </row>
    <row r="16" spans="1:17" x14ac:dyDescent="0.3">
      <c r="B16" s="13" t="s">
        <v>58</v>
      </c>
      <c r="K16" t="s">
        <v>28</v>
      </c>
      <c r="L16">
        <v>40.668832000000002</v>
      </c>
      <c r="M16">
        <v>22.932935000000001</v>
      </c>
      <c r="N16" t="s">
        <v>5</v>
      </c>
      <c r="O16" t="s">
        <v>21</v>
      </c>
      <c r="P16">
        <v>20</v>
      </c>
      <c r="Q16">
        <v>1</v>
      </c>
    </row>
    <row r="17" spans="2:17" x14ac:dyDescent="0.3">
      <c r="B17" s="13" t="s">
        <v>59</v>
      </c>
      <c r="K17" t="s">
        <v>28</v>
      </c>
      <c r="L17">
        <v>40.66874</v>
      </c>
      <c r="M17">
        <v>22.932907</v>
      </c>
      <c r="N17" t="s">
        <v>5</v>
      </c>
      <c r="O17" t="s">
        <v>21</v>
      </c>
      <c r="P17">
        <v>20</v>
      </c>
      <c r="Q17">
        <v>1</v>
      </c>
    </row>
    <row r="18" spans="2:17" x14ac:dyDescent="0.3">
      <c r="B18" s="13" t="s">
        <v>60</v>
      </c>
      <c r="K18" t="s">
        <v>28</v>
      </c>
      <c r="L18">
        <v>40.668605999999997</v>
      </c>
      <c r="M18">
        <v>22.932866000000001</v>
      </c>
      <c r="N18" t="s">
        <v>5</v>
      </c>
      <c r="O18" t="s">
        <v>21</v>
      </c>
      <c r="P18">
        <v>20</v>
      </c>
      <c r="Q18">
        <v>1</v>
      </c>
    </row>
    <row r="19" spans="2:17" x14ac:dyDescent="0.3">
      <c r="B19" s="13" t="s">
        <v>61</v>
      </c>
      <c r="K19" t="s">
        <v>28</v>
      </c>
      <c r="L19">
        <v>40.668559999999999</v>
      </c>
      <c r="M19">
        <v>22.932853000000001</v>
      </c>
      <c r="N19" t="s">
        <v>5</v>
      </c>
      <c r="O19" t="s">
        <v>21</v>
      </c>
      <c r="P19">
        <v>20</v>
      </c>
      <c r="Q19">
        <v>1</v>
      </c>
    </row>
    <row r="20" spans="2:17" x14ac:dyDescent="0.3">
      <c r="B20" s="13" t="s">
        <v>62</v>
      </c>
      <c r="K20" t="s">
        <v>28</v>
      </c>
      <c r="L20">
        <v>40.668250999999998</v>
      </c>
      <c r="M20">
        <v>22.932759000000001</v>
      </c>
      <c r="N20" t="s">
        <v>5</v>
      </c>
      <c r="O20" t="s">
        <v>21</v>
      </c>
      <c r="P20">
        <v>20</v>
      </c>
      <c r="Q20">
        <v>1</v>
      </c>
    </row>
    <row r="21" spans="2:17" x14ac:dyDescent="0.3">
      <c r="B21" s="13" t="s">
        <v>63</v>
      </c>
      <c r="K21" t="s">
        <v>28</v>
      </c>
      <c r="L21">
        <v>40.667923999999999</v>
      </c>
      <c r="M21">
        <v>22.932656999999999</v>
      </c>
      <c r="N21" t="s">
        <v>5</v>
      </c>
      <c r="O21" t="s">
        <v>21</v>
      </c>
      <c r="P21">
        <v>20</v>
      </c>
      <c r="Q21">
        <v>1</v>
      </c>
    </row>
    <row r="22" spans="2:17" x14ac:dyDescent="0.3">
      <c r="K22" t="s">
        <v>28</v>
      </c>
      <c r="L22">
        <v>40.667592999999997</v>
      </c>
      <c r="M22">
        <v>22.932558</v>
      </c>
      <c r="N22" t="s">
        <v>5</v>
      </c>
      <c r="O22" t="s">
        <v>21</v>
      </c>
      <c r="P22">
        <v>20</v>
      </c>
      <c r="Q22">
        <v>1</v>
      </c>
    </row>
    <row r="23" spans="2:17" x14ac:dyDescent="0.3">
      <c r="K23" t="s">
        <v>28</v>
      </c>
      <c r="L23">
        <v>40.667402000000003</v>
      </c>
      <c r="M23">
        <v>22.932504999999999</v>
      </c>
      <c r="N23" t="s">
        <v>5</v>
      </c>
      <c r="O23" t="s">
        <v>21</v>
      </c>
      <c r="P23">
        <v>20</v>
      </c>
      <c r="Q23">
        <v>1</v>
      </c>
    </row>
    <row r="24" spans="2:17" x14ac:dyDescent="0.3">
      <c r="K24" t="s">
        <v>28</v>
      </c>
      <c r="L24">
        <v>40.666891</v>
      </c>
      <c r="M24">
        <v>22.932364</v>
      </c>
      <c r="N24" t="s">
        <v>5</v>
      </c>
      <c r="O24" t="s">
        <v>21</v>
      </c>
      <c r="P24">
        <v>20</v>
      </c>
      <c r="Q24">
        <v>1</v>
      </c>
    </row>
    <row r="25" spans="2:17" x14ac:dyDescent="0.3">
      <c r="K25" t="s">
        <v>28</v>
      </c>
      <c r="L25">
        <v>40.666856000000003</v>
      </c>
      <c r="M25">
        <v>22.932354</v>
      </c>
      <c r="N25" t="s">
        <v>5</v>
      </c>
      <c r="O25" t="s">
        <v>21</v>
      </c>
      <c r="P25">
        <v>20</v>
      </c>
      <c r="Q25">
        <v>1</v>
      </c>
    </row>
    <row r="26" spans="2:17" x14ac:dyDescent="0.3">
      <c r="K26" t="s">
        <v>28</v>
      </c>
      <c r="L26">
        <v>40.666646999999998</v>
      </c>
      <c r="M26">
        <v>22.932286000000001</v>
      </c>
      <c r="N26" t="s">
        <v>5</v>
      </c>
      <c r="O26" t="s">
        <v>21</v>
      </c>
      <c r="P26">
        <v>20</v>
      </c>
      <c r="Q26">
        <v>1</v>
      </c>
    </row>
    <row r="27" spans="2:17" x14ac:dyDescent="0.3">
      <c r="K27" t="s">
        <v>28</v>
      </c>
      <c r="L27">
        <v>40.666587999999997</v>
      </c>
      <c r="M27">
        <v>22.932234000000001</v>
      </c>
      <c r="N27" t="s">
        <v>5</v>
      </c>
      <c r="O27" t="s">
        <v>21</v>
      </c>
      <c r="P27">
        <v>20</v>
      </c>
      <c r="Q27">
        <v>1</v>
      </c>
    </row>
    <row r="28" spans="2:17" x14ac:dyDescent="0.3">
      <c r="K28" t="s">
        <v>28</v>
      </c>
      <c r="L28">
        <v>40.666553999999998</v>
      </c>
      <c r="M28">
        <v>22.932168000000001</v>
      </c>
      <c r="N28" t="s">
        <v>5</v>
      </c>
      <c r="O28" t="s">
        <v>21</v>
      </c>
      <c r="P28">
        <v>20</v>
      </c>
      <c r="Q28">
        <v>1</v>
      </c>
    </row>
    <row r="29" spans="2:17" x14ac:dyDescent="0.3">
      <c r="K29" t="s">
        <v>28</v>
      </c>
      <c r="L29">
        <v>40.666477</v>
      </c>
      <c r="M29">
        <v>22.931794</v>
      </c>
      <c r="N29" t="s">
        <v>5</v>
      </c>
      <c r="O29" t="s">
        <v>21</v>
      </c>
      <c r="P29">
        <v>20</v>
      </c>
      <c r="Q29">
        <v>1</v>
      </c>
    </row>
    <row r="30" spans="2:17" x14ac:dyDescent="0.3">
      <c r="K30" t="s">
        <v>28</v>
      </c>
      <c r="L30">
        <v>40.666370000000001</v>
      </c>
      <c r="M30">
        <v>22.9312</v>
      </c>
      <c r="N30" t="s">
        <v>5</v>
      </c>
      <c r="O30" t="s">
        <v>21</v>
      </c>
      <c r="P30">
        <v>20</v>
      </c>
      <c r="Q30">
        <v>1</v>
      </c>
    </row>
    <row r="31" spans="2:17" x14ac:dyDescent="0.3">
      <c r="K31" t="s">
        <v>28</v>
      </c>
      <c r="L31">
        <v>40.666251000000003</v>
      </c>
      <c r="M31">
        <v>22.930562999999999</v>
      </c>
      <c r="N31" t="s">
        <v>5</v>
      </c>
      <c r="O31" t="s">
        <v>21</v>
      </c>
      <c r="P31">
        <v>20</v>
      </c>
      <c r="Q31">
        <v>1</v>
      </c>
    </row>
    <row r="32" spans="2:17" x14ac:dyDescent="0.3">
      <c r="K32" t="s">
        <v>28</v>
      </c>
      <c r="L32">
        <v>40.666245000000004</v>
      </c>
      <c r="M32">
        <v>22.930509000000001</v>
      </c>
      <c r="N32" t="s">
        <v>5</v>
      </c>
      <c r="O32" t="s">
        <v>21</v>
      </c>
      <c r="P32">
        <v>20</v>
      </c>
      <c r="Q32">
        <v>1</v>
      </c>
    </row>
    <row r="33" spans="11:17" x14ac:dyDescent="0.3">
      <c r="K33" t="s">
        <v>28</v>
      </c>
      <c r="L33">
        <v>40.666240999999999</v>
      </c>
      <c r="M33">
        <v>22.930444000000001</v>
      </c>
      <c r="N33" t="s">
        <v>5</v>
      </c>
      <c r="O33" t="s">
        <v>21</v>
      </c>
      <c r="P33">
        <v>20</v>
      </c>
      <c r="Q33">
        <v>1</v>
      </c>
    </row>
    <row r="34" spans="11:17" x14ac:dyDescent="0.3">
      <c r="K34" t="s">
        <v>28</v>
      </c>
      <c r="L34">
        <v>40.666215999999999</v>
      </c>
      <c r="M34">
        <v>22.929981000000002</v>
      </c>
      <c r="N34" t="s">
        <v>5</v>
      </c>
      <c r="O34" t="s">
        <v>21</v>
      </c>
      <c r="P34">
        <v>20</v>
      </c>
      <c r="Q34">
        <v>1</v>
      </c>
    </row>
    <row r="35" spans="11:17" x14ac:dyDescent="0.3">
      <c r="K35" t="s">
        <v>28</v>
      </c>
      <c r="L35">
        <v>40.66621</v>
      </c>
      <c r="M35">
        <v>22.929717</v>
      </c>
      <c r="N35" t="s">
        <v>5</v>
      </c>
      <c r="O35" t="s">
        <v>21</v>
      </c>
      <c r="P35">
        <v>20</v>
      </c>
      <c r="Q35">
        <v>1</v>
      </c>
    </row>
    <row r="36" spans="11:17" x14ac:dyDescent="0.3">
      <c r="K36" t="s">
        <v>28</v>
      </c>
      <c r="L36">
        <v>40.66621</v>
      </c>
      <c r="M36">
        <v>22.929556999999999</v>
      </c>
      <c r="N36" t="s">
        <v>5</v>
      </c>
      <c r="O36" t="s">
        <v>21</v>
      </c>
      <c r="P36">
        <v>20</v>
      </c>
      <c r="Q36">
        <v>1</v>
      </c>
    </row>
    <row r="37" spans="11:17" x14ac:dyDescent="0.3">
      <c r="K37" t="s">
        <v>28</v>
      </c>
      <c r="L37">
        <v>40.66621</v>
      </c>
      <c r="M37">
        <v>22.929504999999999</v>
      </c>
      <c r="N37" t="s">
        <v>5</v>
      </c>
      <c r="O37" t="s">
        <v>21</v>
      </c>
      <c r="P37">
        <v>20</v>
      </c>
      <c r="Q37">
        <v>1</v>
      </c>
    </row>
    <row r="38" spans="11:17" x14ac:dyDescent="0.3">
      <c r="K38" t="s">
        <v>28</v>
      </c>
      <c r="L38">
        <v>40.666215000000001</v>
      </c>
      <c r="M38">
        <v>22.929036</v>
      </c>
      <c r="N38" t="s">
        <v>5</v>
      </c>
      <c r="O38" t="s">
        <v>21</v>
      </c>
      <c r="P38">
        <v>20</v>
      </c>
      <c r="Q38">
        <v>1</v>
      </c>
    </row>
    <row r="39" spans="11:17" x14ac:dyDescent="0.3">
      <c r="K39" t="s">
        <v>28</v>
      </c>
      <c r="L39">
        <v>40.666213999999997</v>
      </c>
      <c r="M39">
        <v>22.928550999999999</v>
      </c>
      <c r="N39" t="s">
        <v>5</v>
      </c>
      <c r="O39" t="s">
        <v>21</v>
      </c>
      <c r="P39">
        <v>20</v>
      </c>
      <c r="Q39">
        <v>1</v>
      </c>
    </row>
    <row r="40" spans="11:17" x14ac:dyDescent="0.3">
      <c r="K40" t="s">
        <v>28</v>
      </c>
      <c r="L40">
        <v>40.666226000000002</v>
      </c>
      <c r="M40">
        <v>22.928076999999998</v>
      </c>
      <c r="N40" t="s">
        <v>5</v>
      </c>
      <c r="O40" t="s">
        <v>21</v>
      </c>
      <c r="P40">
        <v>20</v>
      </c>
      <c r="Q40">
        <v>1</v>
      </c>
    </row>
    <row r="41" spans="11:17" x14ac:dyDescent="0.3">
      <c r="K41" t="s">
        <v>28</v>
      </c>
      <c r="L41">
        <v>40.666235999999998</v>
      </c>
      <c r="M41">
        <v>22.927606000000001</v>
      </c>
      <c r="N41" t="s">
        <v>5</v>
      </c>
      <c r="O41" t="s">
        <v>21</v>
      </c>
      <c r="P41">
        <v>20</v>
      </c>
      <c r="Q41">
        <v>1</v>
      </c>
    </row>
    <row r="42" spans="11:17" x14ac:dyDescent="0.3">
      <c r="K42" t="s">
        <v>28</v>
      </c>
      <c r="L42">
        <v>40.666240000000002</v>
      </c>
      <c r="M42">
        <v>22.927568999999998</v>
      </c>
      <c r="N42" t="s">
        <v>5</v>
      </c>
      <c r="O42" t="s">
        <v>21</v>
      </c>
      <c r="P42">
        <v>20</v>
      </c>
      <c r="Q42">
        <v>1</v>
      </c>
    </row>
    <row r="43" spans="11:17" x14ac:dyDescent="0.3">
      <c r="K43" t="s">
        <v>28</v>
      </c>
      <c r="L43">
        <v>40.666272999999997</v>
      </c>
      <c r="M43">
        <v>22.927303999999999</v>
      </c>
      <c r="N43" t="s">
        <v>5</v>
      </c>
      <c r="O43" t="s">
        <v>21</v>
      </c>
      <c r="P43">
        <v>20</v>
      </c>
      <c r="Q43">
        <v>1</v>
      </c>
    </row>
    <row r="44" spans="11:17" x14ac:dyDescent="0.3">
      <c r="K44" t="s">
        <v>28</v>
      </c>
      <c r="L44">
        <v>40.666286999999997</v>
      </c>
      <c r="M44">
        <v>22.927129000000001</v>
      </c>
      <c r="N44" t="s">
        <v>5</v>
      </c>
      <c r="O44" t="s">
        <v>21</v>
      </c>
      <c r="P44">
        <v>20</v>
      </c>
      <c r="Q44">
        <v>1</v>
      </c>
    </row>
    <row r="45" spans="11:17" x14ac:dyDescent="0.3">
      <c r="K45" t="s">
        <v>28</v>
      </c>
      <c r="L45">
        <v>40.666308999999998</v>
      </c>
      <c r="M45">
        <v>22.926690000000001</v>
      </c>
      <c r="N45" t="s">
        <v>5</v>
      </c>
      <c r="O45" t="s">
        <v>21</v>
      </c>
      <c r="P45">
        <v>20</v>
      </c>
      <c r="Q45">
        <v>1</v>
      </c>
    </row>
    <row r="46" spans="11:17" x14ac:dyDescent="0.3">
      <c r="K46" t="s">
        <v>28</v>
      </c>
      <c r="L46">
        <v>40.666328999999998</v>
      </c>
      <c r="M46">
        <v>22.926286999999999</v>
      </c>
      <c r="N46" t="s">
        <v>5</v>
      </c>
      <c r="O46" t="s">
        <v>21</v>
      </c>
      <c r="P46">
        <v>20</v>
      </c>
      <c r="Q46">
        <v>1</v>
      </c>
    </row>
    <row r="47" spans="11:17" x14ac:dyDescent="0.3">
      <c r="K47" t="s">
        <v>28</v>
      </c>
      <c r="L47">
        <v>40.666333000000002</v>
      </c>
      <c r="M47">
        <v>22.926219</v>
      </c>
      <c r="N47" t="s">
        <v>5</v>
      </c>
      <c r="O47" t="s">
        <v>21</v>
      </c>
      <c r="P47">
        <v>20</v>
      </c>
      <c r="Q47">
        <v>1</v>
      </c>
    </row>
    <row r="48" spans="11:17" x14ac:dyDescent="0.3">
      <c r="K48" t="s">
        <v>28</v>
      </c>
      <c r="L48">
        <v>40.666345999999997</v>
      </c>
      <c r="M48">
        <v>22.925947000000001</v>
      </c>
      <c r="N48" t="s">
        <v>5</v>
      </c>
      <c r="O48" t="s">
        <v>21</v>
      </c>
      <c r="P48">
        <v>20</v>
      </c>
      <c r="Q48">
        <v>1</v>
      </c>
    </row>
    <row r="49" spans="11:17" x14ac:dyDescent="0.3">
      <c r="K49" t="s">
        <v>28</v>
      </c>
      <c r="L49">
        <v>40.666401</v>
      </c>
      <c r="M49">
        <v>22.924842999999999</v>
      </c>
      <c r="N49" t="s">
        <v>5</v>
      </c>
      <c r="O49" t="s">
        <v>21</v>
      </c>
      <c r="P49">
        <v>20</v>
      </c>
      <c r="Q49">
        <v>1</v>
      </c>
    </row>
    <row r="50" spans="11:17" x14ac:dyDescent="0.3">
      <c r="K50" t="s">
        <v>28</v>
      </c>
      <c r="L50">
        <v>40.666404999999997</v>
      </c>
      <c r="M50">
        <v>22.924779000000001</v>
      </c>
      <c r="N50" t="s">
        <v>5</v>
      </c>
      <c r="O50" t="s">
        <v>21</v>
      </c>
      <c r="P50">
        <v>20</v>
      </c>
      <c r="Q50">
        <v>1</v>
      </c>
    </row>
    <row r="51" spans="11:17" x14ac:dyDescent="0.3">
      <c r="K51" t="s">
        <v>28</v>
      </c>
      <c r="L51">
        <v>40.666415999999998</v>
      </c>
      <c r="M51">
        <v>22.924547</v>
      </c>
      <c r="N51" t="s">
        <v>5</v>
      </c>
      <c r="O51" t="s">
        <v>21</v>
      </c>
      <c r="P51">
        <v>20</v>
      </c>
      <c r="Q51">
        <v>1</v>
      </c>
    </row>
    <row r="52" spans="11:17" x14ac:dyDescent="0.3">
      <c r="K52" t="s">
        <v>28</v>
      </c>
      <c r="L52">
        <v>40.666435</v>
      </c>
      <c r="M52">
        <v>22.924174000000001</v>
      </c>
      <c r="N52" t="s">
        <v>5</v>
      </c>
      <c r="O52" t="s">
        <v>21</v>
      </c>
      <c r="P52">
        <v>20</v>
      </c>
      <c r="Q52">
        <v>1</v>
      </c>
    </row>
    <row r="53" spans="11:17" x14ac:dyDescent="0.3">
      <c r="K53" t="s">
        <v>28</v>
      </c>
      <c r="L53">
        <v>40.666443999999998</v>
      </c>
      <c r="M53">
        <v>22.923997</v>
      </c>
      <c r="N53" t="s">
        <v>5</v>
      </c>
      <c r="O53" t="s">
        <v>21</v>
      </c>
      <c r="P53">
        <v>20</v>
      </c>
      <c r="Q53">
        <v>1</v>
      </c>
    </row>
    <row r="54" spans="11:17" x14ac:dyDescent="0.3">
      <c r="K54" t="s">
        <v>28</v>
      </c>
      <c r="L54">
        <v>40.666468000000002</v>
      </c>
      <c r="M54">
        <v>22.923504999999999</v>
      </c>
      <c r="N54" t="s">
        <v>5</v>
      </c>
      <c r="O54" t="s">
        <v>21</v>
      </c>
      <c r="P54">
        <v>20</v>
      </c>
      <c r="Q54">
        <v>1</v>
      </c>
    </row>
    <row r="55" spans="11:17" x14ac:dyDescent="0.3">
      <c r="K55" t="s">
        <v>28</v>
      </c>
      <c r="L55">
        <v>40.666486999999996</v>
      </c>
      <c r="M55">
        <v>22.923120999999998</v>
      </c>
      <c r="N55" t="s">
        <v>5</v>
      </c>
      <c r="O55" t="s">
        <v>21</v>
      </c>
      <c r="P55">
        <v>20</v>
      </c>
      <c r="Q55">
        <v>1</v>
      </c>
    </row>
    <row r="56" spans="11:17" x14ac:dyDescent="0.3">
      <c r="K56" t="s">
        <v>28</v>
      </c>
      <c r="L56">
        <v>40.666493000000003</v>
      </c>
      <c r="M56">
        <v>22.923006999999998</v>
      </c>
      <c r="N56" t="s">
        <v>5</v>
      </c>
      <c r="O56" t="s">
        <v>21</v>
      </c>
      <c r="P56">
        <v>20</v>
      </c>
      <c r="Q56">
        <v>1</v>
      </c>
    </row>
    <row r="57" spans="11:17" x14ac:dyDescent="0.3">
      <c r="K57" t="s">
        <v>28</v>
      </c>
      <c r="L57">
        <v>40.666500999999997</v>
      </c>
      <c r="M57">
        <v>22.922840000000001</v>
      </c>
      <c r="N57" t="s">
        <v>5</v>
      </c>
      <c r="O57" t="s">
        <v>21</v>
      </c>
      <c r="P57">
        <v>20</v>
      </c>
      <c r="Q57">
        <v>1</v>
      </c>
    </row>
    <row r="58" spans="11:17" x14ac:dyDescent="0.3">
      <c r="K58" t="s">
        <v>28</v>
      </c>
      <c r="L58">
        <v>40.666527000000002</v>
      </c>
      <c r="M58">
        <v>22.922319999999999</v>
      </c>
      <c r="N58" t="s">
        <v>5</v>
      </c>
      <c r="O58" t="s">
        <v>21</v>
      </c>
      <c r="P58">
        <v>20</v>
      </c>
      <c r="Q58">
        <v>1</v>
      </c>
    </row>
    <row r="59" spans="11:17" x14ac:dyDescent="0.3">
      <c r="K59" t="s">
        <v>28</v>
      </c>
      <c r="L59">
        <v>40.666536999999998</v>
      </c>
      <c r="M59">
        <v>22.922114000000001</v>
      </c>
      <c r="N59" t="s">
        <v>5</v>
      </c>
      <c r="O59" t="s">
        <v>21</v>
      </c>
      <c r="P59">
        <v>20</v>
      </c>
      <c r="Q59">
        <v>1</v>
      </c>
    </row>
    <row r="60" spans="11:17" x14ac:dyDescent="0.3">
      <c r="K60" t="s">
        <v>28</v>
      </c>
      <c r="L60">
        <v>40.666553999999998</v>
      </c>
      <c r="M60">
        <v>22.921778</v>
      </c>
      <c r="N60" t="s">
        <v>5</v>
      </c>
      <c r="O60" t="s">
        <v>21</v>
      </c>
      <c r="P60">
        <v>20</v>
      </c>
      <c r="Q60">
        <v>1</v>
      </c>
    </row>
    <row r="61" spans="11:17" x14ac:dyDescent="0.3">
      <c r="K61" t="s">
        <v>28</v>
      </c>
      <c r="L61">
        <v>40.666561000000002</v>
      </c>
      <c r="M61">
        <v>22.92165</v>
      </c>
      <c r="N61" t="s">
        <v>5</v>
      </c>
      <c r="O61" t="s">
        <v>21</v>
      </c>
      <c r="P61">
        <v>20</v>
      </c>
      <c r="Q61">
        <v>1</v>
      </c>
    </row>
    <row r="62" spans="11:17" x14ac:dyDescent="0.3">
      <c r="K62" t="s">
        <v>28</v>
      </c>
      <c r="L62">
        <v>40.666569000000003</v>
      </c>
      <c r="M62">
        <v>22.921488</v>
      </c>
      <c r="N62" t="s">
        <v>5</v>
      </c>
      <c r="O62" t="s">
        <v>21</v>
      </c>
      <c r="P62">
        <v>20</v>
      </c>
      <c r="Q62">
        <v>1</v>
      </c>
    </row>
    <row r="63" spans="11:17" x14ac:dyDescent="0.3">
      <c r="K63" t="s">
        <v>28</v>
      </c>
      <c r="L63">
        <v>40.666578000000001</v>
      </c>
      <c r="M63">
        <v>22.921299000000001</v>
      </c>
      <c r="N63" t="s">
        <v>5</v>
      </c>
      <c r="O63" t="s">
        <v>21</v>
      </c>
      <c r="P63">
        <v>20</v>
      </c>
      <c r="Q63">
        <v>1</v>
      </c>
    </row>
    <row r="64" spans="11:17" x14ac:dyDescent="0.3">
      <c r="K64" t="s">
        <v>28</v>
      </c>
      <c r="L64">
        <v>40.666595000000001</v>
      </c>
      <c r="M64">
        <v>22.920967000000001</v>
      </c>
      <c r="N64" t="s">
        <v>5</v>
      </c>
      <c r="O64" t="s">
        <v>21</v>
      </c>
      <c r="P64">
        <v>20</v>
      </c>
      <c r="Q64">
        <v>1</v>
      </c>
    </row>
    <row r="65" spans="11:17" x14ac:dyDescent="0.3">
      <c r="K65" t="s">
        <v>28</v>
      </c>
      <c r="L65">
        <v>40.666623999999999</v>
      </c>
      <c r="M65">
        <v>22.920387999999999</v>
      </c>
      <c r="N65" t="s">
        <v>5</v>
      </c>
      <c r="O65" t="s">
        <v>21</v>
      </c>
      <c r="P65">
        <v>20</v>
      </c>
      <c r="Q65">
        <v>1</v>
      </c>
    </row>
    <row r="66" spans="11:17" x14ac:dyDescent="0.3">
      <c r="K66" t="s">
        <v>28</v>
      </c>
      <c r="L66">
        <v>40.666651999999999</v>
      </c>
      <c r="M66">
        <v>22.919806999999999</v>
      </c>
      <c r="N66" t="s">
        <v>5</v>
      </c>
      <c r="O66" t="s">
        <v>21</v>
      </c>
      <c r="P66">
        <v>20</v>
      </c>
      <c r="Q66">
        <v>1</v>
      </c>
    </row>
    <row r="67" spans="11:17" x14ac:dyDescent="0.3">
      <c r="K67" t="s">
        <v>28</v>
      </c>
      <c r="L67">
        <v>40.666699999999999</v>
      </c>
      <c r="M67">
        <v>22.918849999999999</v>
      </c>
      <c r="N67" t="s">
        <v>5</v>
      </c>
      <c r="O67" t="s">
        <v>21</v>
      </c>
      <c r="P67">
        <v>20</v>
      </c>
      <c r="Q67">
        <v>1</v>
      </c>
    </row>
    <row r="68" spans="11:17" x14ac:dyDescent="0.3">
      <c r="K68" t="s">
        <v>28</v>
      </c>
      <c r="L68">
        <v>40.666707000000002</v>
      </c>
      <c r="M68">
        <v>22.918710000000001</v>
      </c>
      <c r="N68" t="s">
        <v>5</v>
      </c>
      <c r="O68" t="s">
        <v>21</v>
      </c>
      <c r="P68">
        <v>20</v>
      </c>
      <c r="Q68">
        <v>1</v>
      </c>
    </row>
    <row r="69" spans="11:17" x14ac:dyDescent="0.3">
      <c r="K69" t="s">
        <v>28</v>
      </c>
      <c r="L69">
        <v>40.666742999999997</v>
      </c>
      <c r="M69">
        <v>22.917981999999999</v>
      </c>
      <c r="N69" t="s">
        <v>5</v>
      </c>
      <c r="O69" t="s">
        <v>21</v>
      </c>
      <c r="P69">
        <v>20</v>
      </c>
      <c r="Q69">
        <v>1</v>
      </c>
    </row>
    <row r="70" spans="11:17" x14ac:dyDescent="0.3">
      <c r="K70" t="s">
        <v>28</v>
      </c>
      <c r="L70">
        <v>40.666767</v>
      </c>
      <c r="M70">
        <v>22.917503</v>
      </c>
      <c r="N70" t="s">
        <v>5</v>
      </c>
      <c r="O70" t="s">
        <v>21</v>
      </c>
      <c r="P70">
        <v>20</v>
      </c>
      <c r="Q70">
        <v>1</v>
      </c>
    </row>
    <row r="71" spans="11:17" x14ac:dyDescent="0.3">
      <c r="K71" t="s">
        <v>28</v>
      </c>
      <c r="L71">
        <v>40.666789000000001</v>
      </c>
      <c r="M71">
        <v>22.917068</v>
      </c>
      <c r="N71" t="s">
        <v>5</v>
      </c>
      <c r="O71" t="s">
        <v>21</v>
      </c>
      <c r="P71">
        <v>20</v>
      </c>
      <c r="Q71">
        <v>1</v>
      </c>
    </row>
    <row r="72" spans="11:17" x14ac:dyDescent="0.3">
      <c r="K72" t="s">
        <v>28</v>
      </c>
      <c r="L72">
        <v>40.666822000000003</v>
      </c>
      <c r="M72">
        <v>22.916404</v>
      </c>
      <c r="N72" t="s">
        <v>5</v>
      </c>
      <c r="O72" t="s">
        <v>21</v>
      </c>
      <c r="P72">
        <v>20</v>
      </c>
      <c r="Q72">
        <v>1</v>
      </c>
    </row>
    <row r="73" spans="11:17" x14ac:dyDescent="0.3">
      <c r="K73" t="s">
        <v>28</v>
      </c>
      <c r="L73">
        <v>40.666823999999998</v>
      </c>
      <c r="M73">
        <v>22.916360999999998</v>
      </c>
      <c r="N73" t="s">
        <v>5</v>
      </c>
      <c r="O73" t="s">
        <v>21</v>
      </c>
      <c r="P73">
        <v>20</v>
      </c>
      <c r="Q73">
        <v>1</v>
      </c>
    </row>
    <row r="74" spans="11:17" x14ac:dyDescent="0.3">
      <c r="K74" t="s">
        <v>28</v>
      </c>
      <c r="L74">
        <v>40.666842000000003</v>
      </c>
      <c r="M74">
        <v>22.916004000000001</v>
      </c>
      <c r="N74" t="s">
        <v>5</v>
      </c>
      <c r="O74" t="s">
        <v>21</v>
      </c>
      <c r="P74">
        <v>20</v>
      </c>
      <c r="Q74">
        <v>1</v>
      </c>
    </row>
    <row r="75" spans="11:17" x14ac:dyDescent="0.3">
      <c r="K75" t="s">
        <v>28</v>
      </c>
      <c r="L75">
        <v>40.666862999999999</v>
      </c>
      <c r="M75">
        <v>22.915590000000002</v>
      </c>
      <c r="N75" t="s">
        <v>5</v>
      </c>
      <c r="O75" t="s">
        <v>21</v>
      </c>
      <c r="P75">
        <v>20</v>
      </c>
      <c r="Q75">
        <v>1</v>
      </c>
    </row>
    <row r="76" spans="11:17" x14ac:dyDescent="0.3">
      <c r="K76" t="s">
        <v>28</v>
      </c>
      <c r="L76">
        <v>40.666880999999997</v>
      </c>
      <c r="M76">
        <v>22.915229</v>
      </c>
      <c r="N76" t="s">
        <v>5</v>
      </c>
      <c r="O76" t="s">
        <v>21</v>
      </c>
      <c r="P76">
        <v>20</v>
      </c>
      <c r="Q76">
        <v>1</v>
      </c>
    </row>
    <row r="77" spans="11:17" x14ac:dyDescent="0.3">
      <c r="K77" t="s">
        <v>28</v>
      </c>
      <c r="L77">
        <v>40.666885999999998</v>
      </c>
      <c r="M77">
        <v>22.915130000000001</v>
      </c>
      <c r="N77" t="s">
        <v>5</v>
      </c>
      <c r="O77" t="s">
        <v>21</v>
      </c>
      <c r="P77">
        <v>20</v>
      </c>
      <c r="Q77">
        <v>1</v>
      </c>
    </row>
    <row r="78" spans="11:17" x14ac:dyDescent="0.3">
      <c r="K78" t="s">
        <v>28</v>
      </c>
      <c r="L78">
        <v>40.666924000000002</v>
      </c>
      <c r="M78">
        <v>22.915123000000001</v>
      </c>
      <c r="N78" t="s">
        <v>5</v>
      </c>
      <c r="O78" t="s">
        <v>21</v>
      </c>
      <c r="P78">
        <v>20</v>
      </c>
      <c r="Q78">
        <v>1</v>
      </c>
    </row>
    <row r="79" spans="11:17" x14ac:dyDescent="0.3">
      <c r="K79" t="s">
        <v>28</v>
      </c>
      <c r="L79">
        <v>40.666964</v>
      </c>
      <c r="M79">
        <v>22.91507</v>
      </c>
      <c r="N79" t="s">
        <v>5</v>
      </c>
      <c r="O79" t="s">
        <v>21</v>
      </c>
      <c r="P79">
        <v>20</v>
      </c>
      <c r="Q79">
        <v>1</v>
      </c>
    </row>
    <row r="80" spans="11:17" x14ac:dyDescent="0.3">
      <c r="K80" t="s">
        <v>28</v>
      </c>
      <c r="L80">
        <v>40.667164999999997</v>
      </c>
      <c r="M80">
        <v>22.914688000000002</v>
      </c>
      <c r="N80" t="s">
        <v>5</v>
      </c>
      <c r="O80" t="s">
        <v>21</v>
      </c>
      <c r="P80">
        <v>20</v>
      </c>
      <c r="Q80">
        <v>1</v>
      </c>
    </row>
    <row r="81" spans="11:17" x14ac:dyDescent="0.3">
      <c r="K81" t="s">
        <v>28</v>
      </c>
      <c r="L81">
        <v>40.667256000000002</v>
      </c>
      <c r="M81">
        <v>22.914515000000002</v>
      </c>
      <c r="N81" t="s">
        <v>5</v>
      </c>
      <c r="O81" t="s">
        <v>21</v>
      </c>
      <c r="P81">
        <v>20</v>
      </c>
      <c r="Q81">
        <v>1</v>
      </c>
    </row>
    <row r="82" spans="11:17" x14ac:dyDescent="0.3">
      <c r="K82" t="s">
        <v>28</v>
      </c>
      <c r="L82">
        <v>40.667361999999997</v>
      </c>
      <c r="M82">
        <v>22.914314000000001</v>
      </c>
      <c r="N82" t="s">
        <v>5</v>
      </c>
      <c r="O82" t="s">
        <v>21</v>
      </c>
      <c r="P82">
        <v>20</v>
      </c>
      <c r="Q82">
        <v>1</v>
      </c>
    </row>
    <row r="83" spans="11:17" x14ac:dyDescent="0.3">
      <c r="K83" t="s">
        <v>28</v>
      </c>
      <c r="L83">
        <v>40.667524</v>
      </c>
      <c r="M83">
        <v>22.913990999999999</v>
      </c>
      <c r="N83" t="s">
        <v>5</v>
      </c>
      <c r="O83" t="s">
        <v>21</v>
      </c>
      <c r="P83">
        <v>20</v>
      </c>
      <c r="Q83">
        <v>1</v>
      </c>
    </row>
    <row r="84" spans="11:17" x14ac:dyDescent="0.3">
      <c r="K84" t="s">
        <v>28</v>
      </c>
      <c r="L84">
        <v>40.667687000000001</v>
      </c>
      <c r="M84">
        <v>22.91366</v>
      </c>
      <c r="N84" t="s">
        <v>5</v>
      </c>
      <c r="O84" t="s">
        <v>21</v>
      </c>
      <c r="P84">
        <v>20</v>
      </c>
      <c r="Q84">
        <v>1</v>
      </c>
    </row>
    <row r="85" spans="11:17" x14ac:dyDescent="0.3">
      <c r="K85" t="s">
        <v>28</v>
      </c>
      <c r="L85">
        <v>40.667859999999997</v>
      </c>
      <c r="M85">
        <v>22.913297</v>
      </c>
      <c r="N85" t="s">
        <v>5</v>
      </c>
      <c r="O85" t="s">
        <v>21</v>
      </c>
      <c r="P85">
        <v>20</v>
      </c>
      <c r="Q85">
        <v>1</v>
      </c>
    </row>
    <row r="86" spans="11:17" x14ac:dyDescent="0.3">
      <c r="K86" t="s">
        <v>28</v>
      </c>
      <c r="L86">
        <v>40.668022000000001</v>
      </c>
      <c r="M86">
        <v>22.912962</v>
      </c>
      <c r="N86" t="s">
        <v>5</v>
      </c>
      <c r="O86" t="s">
        <v>21</v>
      </c>
      <c r="P86">
        <v>20</v>
      </c>
      <c r="Q86">
        <v>1</v>
      </c>
    </row>
    <row r="87" spans="11:17" x14ac:dyDescent="0.3">
      <c r="K87" t="s">
        <v>28</v>
      </c>
      <c r="L87">
        <v>40.668165000000002</v>
      </c>
      <c r="M87">
        <v>22.912679000000001</v>
      </c>
      <c r="N87" t="s">
        <v>5</v>
      </c>
      <c r="O87" t="s">
        <v>21</v>
      </c>
      <c r="P87">
        <v>20</v>
      </c>
      <c r="Q87">
        <v>1</v>
      </c>
    </row>
    <row r="88" spans="11:17" x14ac:dyDescent="0.3">
      <c r="K88" t="s">
        <v>28</v>
      </c>
      <c r="L88">
        <v>40.668424000000002</v>
      </c>
      <c r="M88">
        <v>22.912133000000001</v>
      </c>
      <c r="N88" t="s">
        <v>5</v>
      </c>
      <c r="O88" t="s">
        <v>21</v>
      </c>
      <c r="P88">
        <v>20</v>
      </c>
      <c r="Q88">
        <v>1</v>
      </c>
    </row>
    <row r="89" spans="11:17" x14ac:dyDescent="0.3">
      <c r="K89" t="s">
        <v>28</v>
      </c>
      <c r="L89">
        <v>40.668607999999999</v>
      </c>
      <c r="M89">
        <v>22.911724</v>
      </c>
      <c r="N89" t="s">
        <v>5</v>
      </c>
      <c r="O89" t="s">
        <v>21</v>
      </c>
      <c r="P89">
        <v>20</v>
      </c>
      <c r="Q89">
        <v>1</v>
      </c>
    </row>
    <row r="90" spans="11:17" x14ac:dyDescent="0.3">
      <c r="K90" t="s">
        <v>28</v>
      </c>
      <c r="L90">
        <v>40.668765</v>
      </c>
      <c r="M90">
        <v>22.911314999999998</v>
      </c>
      <c r="N90" t="s">
        <v>5</v>
      </c>
      <c r="O90" t="s">
        <v>21</v>
      </c>
      <c r="P90">
        <v>20</v>
      </c>
      <c r="Q90">
        <v>1</v>
      </c>
    </row>
    <row r="91" spans="11:17" x14ac:dyDescent="0.3">
      <c r="K91" t="s">
        <v>28</v>
      </c>
      <c r="L91">
        <v>40.669023000000003</v>
      </c>
      <c r="M91">
        <v>22.910644999999999</v>
      </c>
      <c r="N91" t="s">
        <v>5</v>
      </c>
      <c r="O91" t="s">
        <v>21</v>
      </c>
      <c r="P91">
        <v>20</v>
      </c>
      <c r="Q91">
        <v>1</v>
      </c>
    </row>
    <row r="92" spans="11:17" x14ac:dyDescent="0.3">
      <c r="K92" t="s">
        <v>28</v>
      </c>
      <c r="L92">
        <v>40.669229000000001</v>
      </c>
      <c r="M92">
        <v>22.910043000000002</v>
      </c>
      <c r="N92" t="s">
        <v>5</v>
      </c>
      <c r="O92" t="s">
        <v>21</v>
      </c>
      <c r="P92">
        <v>20</v>
      </c>
      <c r="Q92">
        <v>1</v>
      </c>
    </row>
    <row r="93" spans="11:17" x14ac:dyDescent="0.3">
      <c r="K93" t="s">
        <v>28</v>
      </c>
      <c r="L93">
        <v>40.669474999999998</v>
      </c>
      <c r="M93">
        <v>22.909005000000001</v>
      </c>
      <c r="N93" t="s">
        <v>5</v>
      </c>
      <c r="O93" t="s">
        <v>21</v>
      </c>
      <c r="P93">
        <v>20</v>
      </c>
      <c r="Q93">
        <v>1</v>
      </c>
    </row>
    <row r="94" spans="11:17" x14ac:dyDescent="0.3">
      <c r="K94" t="s">
        <v>28</v>
      </c>
      <c r="L94">
        <v>40.669589000000002</v>
      </c>
      <c r="M94">
        <v>22.908373999999998</v>
      </c>
      <c r="N94" t="s">
        <v>5</v>
      </c>
      <c r="O94" t="s">
        <v>21</v>
      </c>
      <c r="P94">
        <v>20</v>
      </c>
      <c r="Q94">
        <v>1</v>
      </c>
    </row>
    <row r="95" spans="11:17" x14ac:dyDescent="0.3">
      <c r="K95" t="s">
        <v>28</v>
      </c>
      <c r="L95">
        <v>40.669761999999999</v>
      </c>
      <c r="M95">
        <v>22.907387</v>
      </c>
      <c r="N95" t="s">
        <v>5</v>
      </c>
      <c r="O95" t="s">
        <v>21</v>
      </c>
      <c r="P95">
        <v>20</v>
      </c>
      <c r="Q95">
        <v>1</v>
      </c>
    </row>
    <row r="96" spans="11:17" x14ac:dyDescent="0.3">
      <c r="K96" t="s">
        <v>28</v>
      </c>
      <c r="L96">
        <v>40.669918000000003</v>
      </c>
      <c r="M96">
        <v>22.906516</v>
      </c>
      <c r="N96" t="s">
        <v>5</v>
      </c>
      <c r="O96" t="s">
        <v>21</v>
      </c>
      <c r="P96">
        <v>20</v>
      </c>
      <c r="Q96">
        <v>1</v>
      </c>
    </row>
    <row r="97" spans="11:17" x14ac:dyDescent="0.3">
      <c r="K97" t="s">
        <v>28</v>
      </c>
      <c r="L97">
        <v>40.670074</v>
      </c>
      <c r="M97">
        <v>22.905669</v>
      </c>
      <c r="N97" t="s">
        <v>5</v>
      </c>
      <c r="O97" t="s">
        <v>21</v>
      </c>
      <c r="P97">
        <v>20</v>
      </c>
      <c r="Q97">
        <v>1</v>
      </c>
    </row>
    <row r="98" spans="11:17" x14ac:dyDescent="0.3">
      <c r="K98" t="s">
        <v>28</v>
      </c>
      <c r="L98">
        <v>40.670285999999997</v>
      </c>
      <c r="M98">
        <v>22.904800000000002</v>
      </c>
      <c r="N98" t="s">
        <v>5</v>
      </c>
      <c r="O98" t="s">
        <v>21</v>
      </c>
      <c r="P98">
        <v>20</v>
      </c>
      <c r="Q98">
        <v>1</v>
      </c>
    </row>
    <row r="99" spans="11:17" x14ac:dyDescent="0.3">
      <c r="K99" t="s">
        <v>28</v>
      </c>
      <c r="L99">
        <v>40.670513</v>
      </c>
      <c r="M99">
        <v>22.903911999999998</v>
      </c>
      <c r="N99" t="s">
        <v>5</v>
      </c>
      <c r="O99" t="s">
        <v>21</v>
      </c>
      <c r="P99">
        <v>20</v>
      </c>
      <c r="Q99">
        <v>1</v>
      </c>
    </row>
    <row r="100" spans="11:17" x14ac:dyDescent="0.3">
      <c r="K100" t="s">
        <v>28</v>
      </c>
      <c r="L100">
        <v>40.670848999999997</v>
      </c>
      <c r="M100">
        <v>22.902685000000002</v>
      </c>
      <c r="N100" t="s">
        <v>5</v>
      </c>
      <c r="O100" t="s">
        <v>21</v>
      </c>
      <c r="P100">
        <v>20</v>
      </c>
      <c r="Q100">
        <v>1</v>
      </c>
    </row>
    <row r="101" spans="11:17" x14ac:dyDescent="0.3">
      <c r="K101" t="s">
        <v>28</v>
      </c>
      <c r="L101">
        <v>40.670907</v>
      </c>
      <c r="M101">
        <v>22.902504</v>
      </c>
      <c r="N101" t="s">
        <v>5</v>
      </c>
      <c r="O101" t="s">
        <v>21</v>
      </c>
      <c r="P101">
        <v>20</v>
      </c>
      <c r="Q101">
        <v>1</v>
      </c>
    </row>
    <row r="102" spans="11:17" x14ac:dyDescent="0.3">
      <c r="K102" t="s">
        <v>28</v>
      </c>
      <c r="L102">
        <v>40.671351999999999</v>
      </c>
      <c r="M102">
        <v>22.901091000000001</v>
      </c>
      <c r="N102" t="s">
        <v>5</v>
      </c>
      <c r="O102" t="s">
        <v>21</v>
      </c>
      <c r="P102">
        <v>20</v>
      </c>
      <c r="Q102">
        <v>1</v>
      </c>
    </row>
    <row r="103" spans="11:17" x14ac:dyDescent="0.3">
      <c r="K103" t="s">
        <v>28</v>
      </c>
      <c r="L103">
        <v>40.671832000000002</v>
      </c>
      <c r="M103">
        <v>22.89969</v>
      </c>
      <c r="N103" t="s">
        <v>5</v>
      </c>
      <c r="O103" t="s">
        <v>21</v>
      </c>
      <c r="P103">
        <v>20</v>
      </c>
      <c r="Q103">
        <v>1</v>
      </c>
    </row>
    <row r="104" spans="11:17" x14ac:dyDescent="0.3">
      <c r="K104" t="s">
        <v>28</v>
      </c>
      <c r="L104">
        <v>40.671857000000003</v>
      </c>
      <c r="M104">
        <v>22.899619000000001</v>
      </c>
      <c r="N104" t="s">
        <v>5</v>
      </c>
      <c r="O104" t="s">
        <v>21</v>
      </c>
      <c r="P104">
        <v>20</v>
      </c>
      <c r="Q104">
        <v>1</v>
      </c>
    </row>
    <row r="105" spans="11:17" x14ac:dyDescent="0.3">
      <c r="K105" t="s">
        <v>28</v>
      </c>
      <c r="L105">
        <v>40.671903999999998</v>
      </c>
      <c r="M105">
        <v>22.899480000000001</v>
      </c>
      <c r="N105" t="s">
        <v>5</v>
      </c>
      <c r="O105" t="s">
        <v>21</v>
      </c>
      <c r="P105">
        <v>20</v>
      </c>
      <c r="Q105">
        <v>1</v>
      </c>
    </row>
    <row r="106" spans="11:17" x14ac:dyDescent="0.3">
      <c r="K106" t="s">
        <v>28</v>
      </c>
      <c r="L106">
        <v>40.671957999999997</v>
      </c>
      <c r="M106">
        <v>22.899467000000001</v>
      </c>
      <c r="N106" t="s">
        <v>5</v>
      </c>
      <c r="O106" t="s">
        <v>21</v>
      </c>
      <c r="P106">
        <v>20</v>
      </c>
      <c r="Q106">
        <v>1</v>
      </c>
    </row>
    <row r="107" spans="11:17" x14ac:dyDescent="0.3">
      <c r="K107" t="s">
        <v>28</v>
      </c>
      <c r="L107">
        <v>40.671978000000003</v>
      </c>
      <c r="M107">
        <v>22.899425000000001</v>
      </c>
      <c r="N107" t="s">
        <v>5</v>
      </c>
      <c r="O107" t="s">
        <v>21</v>
      </c>
      <c r="P107">
        <v>20</v>
      </c>
      <c r="Q107">
        <v>1</v>
      </c>
    </row>
    <row r="108" spans="11:17" x14ac:dyDescent="0.3">
      <c r="K108" t="s">
        <v>28</v>
      </c>
      <c r="L108">
        <v>40.671968</v>
      </c>
      <c r="M108">
        <v>22.899367000000002</v>
      </c>
      <c r="N108" t="s">
        <v>5</v>
      </c>
      <c r="O108" t="s">
        <v>21</v>
      </c>
      <c r="P108">
        <v>20</v>
      </c>
      <c r="Q108">
        <v>1</v>
      </c>
    </row>
    <row r="109" spans="11:17" x14ac:dyDescent="0.3">
      <c r="K109" t="s">
        <v>28</v>
      </c>
      <c r="L109">
        <v>40.671961000000003</v>
      </c>
      <c r="M109">
        <v>22.899356000000001</v>
      </c>
      <c r="N109" t="s">
        <v>5</v>
      </c>
      <c r="O109" t="s">
        <v>21</v>
      </c>
      <c r="P109">
        <v>20</v>
      </c>
      <c r="Q109">
        <v>1</v>
      </c>
    </row>
    <row r="110" spans="11:17" x14ac:dyDescent="0.3">
      <c r="K110" t="s">
        <v>28</v>
      </c>
      <c r="L110">
        <v>40.672144000000003</v>
      </c>
      <c r="M110">
        <v>22.898875</v>
      </c>
      <c r="N110" t="s">
        <v>5</v>
      </c>
      <c r="O110" t="s">
        <v>21</v>
      </c>
      <c r="P110">
        <v>20</v>
      </c>
      <c r="Q110">
        <v>1</v>
      </c>
    </row>
    <row r="111" spans="11:17" x14ac:dyDescent="0.3">
      <c r="K111" t="s">
        <v>28</v>
      </c>
      <c r="L111">
        <v>40.672232999999999</v>
      </c>
      <c r="M111">
        <v>22.898544999999999</v>
      </c>
      <c r="N111" t="s">
        <v>5</v>
      </c>
      <c r="O111" t="s">
        <v>21</v>
      </c>
      <c r="P111">
        <v>20</v>
      </c>
      <c r="Q111">
        <v>1</v>
      </c>
    </row>
    <row r="112" spans="11:17" x14ac:dyDescent="0.3">
      <c r="K112" t="s">
        <v>28</v>
      </c>
      <c r="L112">
        <v>40.672297</v>
      </c>
      <c r="M112">
        <v>22.898197</v>
      </c>
      <c r="N112" t="s">
        <v>5</v>
      </c>
      <c r="O112" t="s">
        <v>21</v>
      </c>
      <c r="P112">
        <v>20</v>
      </c>
      <c r="Q112">
        <v>1</v>
      </c>
    </row>
    <row r="113" spans="11:17" x14ac:dyDescent="0.3">
      <c r="K113" t="s">
        <v>28</v>
      </c>
      <c r="L113">
        <v>40.672307000000004</v>
      </c>
      <c r="M113">
        <v>22.898119000000001</v>
      </c>
      <c r="N113" t="s">
        <v>5</v>
      </c>
      <c r="O113" t="s">
        <v>21</v>
      </c>
      <c r="P113">
        <v>20</v>
      </c>
      <c r="Q113">
        <v>1</v>
      </c>
    </row>
    <row r="114" spans="11:17" x14ac:dyDescent="0.3">
      <c r="K114" t="s">
        <v>28</v>
      </c>
      <c r="L114">
        <v>40.672336000000001</v>
      </c>
      <c r="M114">
        <v>22.897739999999999</v>
      </c>
      <c r="N114" t="s">
        <v>5</v>
      </c>
      <c r="O114" t="s">
        <v>21</v>
      </c>
      <c r="P114">
        <v>20</v>
      </c>
      <c r="Q114">
        <v>1</v>
      </c>
    </row>
    <row r="115" spans="11:17" x14ac:dyDescent="0.3">
      <c r="K115" t="s">
        <v>28</v>
      </c>
      <c r="L115">
        <v>40.672308999999998</v>
      </c>
      <c r="M115">
        <v>22.897283000000002</v>
      </c>
      <c r="N115" t="s">
        <v>5</v>
      </c>
      <c r="O115" t="s">
        <v>21</v>
      </c>
      <c r="P115">
        <v>20</v>
      </c>
      <c r="Q115">
        <v>1</v>
      </c>
    </row>
    <row r="116" spans="11:17" x14ac:dyDescent="0.3">
      <c r="K116" t="s">
        <v>28</v>
      </c>
      <c r="L116">
        <v>40.672288999999999</v>
      </c>
      <c r="M116">
        <v>22.897027999999999</v>
      </c>
      <c r="N116" t="s">
        <v>5</v>
      </c>
      <c r="O116" t="s">
        <v>21</v>
      </c>
      <c r="P116">
        <v>20</v>
      </c>
      <c r="Q116">
        <v>1</v>
      </c>
    </row>
    <row r="117" spans="11:17" x14ac:dyDescent="0.3">
      <c r="K117" t="s">
        <v>28</v>
      </c>
      <c r="L117">
        <v>40.672181000000002</v>
      </c>
      <c r="M117">
        <v>22.895727000000001</v>
      </c>
      <c r="N117" t="s">
        <v>5</v>
      </c>
      <c r="O117" t="s">
        <v>21</v>
      </c>
      <c r="P117">
        <v>20</v>
      </c>
      <c r="Q117">
        <v>1</v>
      </c>
    </row>
    <row r="118" spans="11:17" x14ac:dyDescent="0.3">
      <c r="K118" t="s">
        <v>28</v>
      </c>
      <c r="L118">
        <v>40.672058</v>
      </c>
      <c r="M118">
        <v>22.894134999999999</v>
      </c>
      <c r="N118" t="s">
        <v>5</v>
      </c>
      <c r="O118" t="s">
        <v>21</v>
      </c>
      <c r="P118">
        <v>20</v>
      </c>
      <c r="Q118">
        <v>1</v>
      </c>
    </row>
    <row r="119" spans="11:17" x14ac:dyDescent="0.3">
      <c r="K119" t="s">
        <v>28</v>
      </c>
      <c r="L119">
        <v>40.67192</v>
      </c>
      <c r="M119">
        <v>22.892353</v>
      </c>
      <c r="N119" t="s">
        <v>5</v>
      </c>
      <c r="O119" t="s">
        <v>21</v>
      </c>
      <c r="P119">
        <v>20</v>
      </c>
      <c r="Q119">
        <v>1</v>
      </c>
    </row>
    <row r="120" spans="11:17" x14ac:dyDescent="0.3">
      <c r="K120" t="s">
        <v>28</v>
      </c>
      <c r="L120">
        <v>40.671793999999998</v>
      </c>
      <c r="M120">
        <v>22.892364000000001</v>
      </c>
      <c r="N120" t="s">
        <v>5</v>
      </c>
      <c r="O120" t="s">
        <v>21</v>
      </c>
      <c r="P120">
        <v>20</v>
      </c>
      <c r="Q120">
        <v>1</v>
      </c>
    </row>
    <row r="121" spans="11:17" x14ac:dyDescent="0.3">
      <c r="K121" t="s">
        <v>28</v>
      </c>
      <c r="L121">
        <v>40.671519000000004</v>
      </c>
      <c r="M121">
        <v>22.891570999999999</v>
      </c>
      <c r="N121" t="s">
        <v>5</v>
      </c>
      <c r="O121" t="s">
        <v>21</v>
      </c>
      <c r="P121">
        <v>20</v>
      </c>
      <c r="Q121">
        <v>1</v>
      </c>
    </row>
    <row r="122" spans="11:17" x14ac:dyDescent="0.3">
      <c r="K122" t="s">
        <v>28</v>
      </c>
      <c r="L122">
        <v>40.671506999999998</v>
      </c>
      <c r="M122">
        <v>22.891504999999999</v>
      </c>
      <c r="N122" t="s">
        <v>5</v>
      </c>
      <c r="O122" t="s">
        <v>21</v>
      </c>
      <c r="P122">
        <v>20</v>
      </c>
      <c r="Q122">
        <v>1</v>
      </c>
    </row>
    <row r="123" spans="11:17" x14ac:dyDescent="0.3">
      <c r="K123" t="s">
        <v>28</v>
      </c>
      <c r="L123">
        <v>40.671512</v>
      </c>
      <c r="M123">
        <v>22.891358</v>
      </c>
      <c r="N123" t="s">
        <v>5</v>
      </c>
      <c r="O123" t="s">
        <v>21</v>
      </c>
      <c r="P123">
        <v>20</v>
      </c>
      <c r="Q123">
        <v>1</v>
      </c>
    </row>
    <row r="124" spans="11:17" x14ac:dyDescent="0.3">
      <c r="K124" t="s">
        <v>28</v>
      </c>
      <c r="L124">
        <v>40.671588999999997</v>
      </c>
      <c r="M124">
        <v>22.891106000000001</v>
      </c>
      <c r="N124" t="s">
        <v>5</v>
      </c>
      <c r="O124" t="s">
        <v>21</v>
      </c>
      <c r="P124">
        <v>20</v>
      </c>
      <c r="Q124">
        <v>1</v>
      </c>
    </row>
    <row r="125" spans="11:17" x14ac:dyDescent="0.3">
      <c r="K125" t="s">
        <v>28</v>
      </c>
      <c r="L125">
        <v>40.671846000000002</v>
      </c>
      <c r="M125">
        <v>22.890070000000001</v>
      </c>
      <c r="N125" t="s">
        <v>5</v>
      </c>
      <c r="O125" t="s">
        <v>21</v>
      </c>
      <c r="P125">
        <v>20</v>
      </c>
      <c r="Q125">
        <v>1</v>
      </c>
    </row>
    <row r="126" spans="11:17" x14ac:dyDescent="0.3">
      <c r="K126" t="s">
        <v>28</v>
      </c>
      <c r="L126">
        <v>40.671906</v>
      </c>
      <c r="M126">
        <v>22.889835000000001</v>
      </c>
      <c r="N126" t="s">
        <v>5</v>
      </c>
      <c r="O126" t="s">
        <v>21</v>
      </c>
      <c r="P126">
        <v>20</v>
      </c>
      <c r="Q126">
        <v>1</v>
      </c>
    </row>
    <row r="127" spans="11:17" x14ac:dyDescent="0.3">
      <c r="K127" t="s">
        <v>28</v>
      </c>
      <c r="L127">
        <v>40.671125000000004</v>
      </c>
      <c r="M127">
        <v>22.889493999999999</v>
      </c>
      <c r="N127" t="s">
        <v>5</v>
      </c>
      <c r="O127" t="s">
        <v>21</v>
      </c>
      <c r="P127">
        <v>20</v>
      </c>
      <c r="Q127">
        <v>1</v>
      </c>
    </row>
    <row r="128" spans="11:17" x14ac:dyDescent="0.3">
      <c r="K128" t="s">
        <v>28</v>
      </c>
      <c r="L128">
        <v>40.670464000000003</v>
      </c>
      <c r="M128">
        <v>22.889188000000001</v>
      </c>
      <c r="N128" t="s">
        <v>5</v>
      </c>
      <c r="O128" t="s">
        <v>21</v>
      </c>
      <c r="P128">
        <v>20</v>
      </c>
      <c r="Q128">
        <v>1</v>
      </c>
    </row>
    <row r="129" spans="11:17" x14ac:dyDescent="0.3">
      <c r="K129" t="s">
        <v>28</v>
      </c>
      <c r="L129">
        <v>40.670040999999998</v>
      </c>
      <c r="M129">
        <v>22.8888</v>
      </c>
      <c r="N129" t="s">
        <v>5</v>
      </c>
      <c r="O129" t="s">
        <v>21</v>
      </c>
      <c r="P129">
        <v>20</v>
      </c>
      <c r="Q129">
        <v>1</v>
      </c>
    </row>
    <row r="130" spans="11:17" x14ac:dyDescent="0.3">
      <c r="K130" t="s">
        <v>28</v>
      </c>
      <c r="L130">
        <v>40.669649</v>
      </c>
      <c r="M130">
        <v>22.888406</v>
      </c>
      <c r="N130" t="s">
        <v>5</v>
      </c>
      <c r="O130" t="s">
        <v>21</v>
      </c>
      <c r="P130">
        <v>20</v>
      </c>
      <c r="Q130">
        <v>1</v>
      </c>
    </row>
    <row r="131" spans="11:17" x14ac:dyDescent="0.3">
      <c r="K131" t="s">
        <v>28</v>
      </c>
      <c r="L131">
        <v>40.669257999999999</v>
      </c>
      <c r="M131">
        <v>22.888021999999999</v>
      </c>
      <c r="N131" t="s">
        <v>5</v>
      </c>
      <c r="O131" t="s">
        <v>21</v>
      </c>
      <c r="P131">
        <v>20</v>
      </c>
      <c r="Q131">
        <v>1</v>
      </c>
    </row>
    <row r="132" spans="11:17" x14ac:dyDescent="0.3">
      <c r="K132" t="s">
        <v>28</v>
      </c>
      <c r="L132">
        <v>40.669052999999998</v>
      </c>
      <c r="M132">
        <v>22.887815</v>
      </c>
      <c r="N132" t="s">
        <v>5</v>
      </c>
      <c r="O132" t="s">
        <v>21</v>
      </c>
      <c r="P132">
        <v>20</v>
      </c>
      <c r="Q132">
        <v>1</v>
      </c>
    </row>
    <row r="133" spans="11:17" x14ac:dyDescent="0.3">
      <c r="K133" t="s">
        <v>28</v>
      </c>
      <c r="L133">
        <v>40.668990999999998</v>
      </c>
      <c r="M133">
        <v>22.887694</v>
      </c>
      <c r="N133" t="s">
        <v>5</v>
      </c>
      <c r="O133" t="s">
        <v>21</v>
      </c>
      <c r="P133">
        <v>20</v>
      </c>
      <c r="Q133">
        <v>1</v>
      </c>
    </row>
    <row r="134" spans="11:17" x14ac:dyDescent="0.3">
      <c r="K134" t="s">
        <v>28</v>
      </c>
      <c r="L134">
        <v>40.669026000000002</v>
      </c>
      <c r="M134">
        <v>22.887637000000002</v>
      </c>
      <c r="N134" t="s">
        <v>5</v>
      </c>
      <c r="O134" t="s">
        <v>21</v>
      </c>
      <c r="P134">
        <v>20</v>
      </c>
      <c r="Q134">
        <v>1</v>
      </c>
    </row>
    <row r="135" spans="11:17" x14ac:dyDescent="0.3">
      <c r="K135" t="s">
        <v>28</v>
      </c>
      <c r="L135">
        <v>40.669147000000002</v>
      </c>
      <c r="M135">
        <v>22.887447000000002</v>
      </c>
      <c r="N135" t="s">
        <v>5</v>
      </c>
      <c r="O135" t="s">
        <v>21</v>
      </c>
      <c r="P135">
        <v>20</v>
      </c>
      <c r="Q135">
        <v>1</v>
      </c>
    </row>
    <row r="136" spans="11:17" x14ac:dyDescent="0.3">
      <c r="K136" t="s">
        <v>28</v>
      </c>
      <c r="L136">
        <v>40.669514999999997</v>
      </c>
      <c r="M136">
        <v>22.886939999999999</v>
      </c>
      <c r="N136" t="s">
        <v>5</v>
      </c>
      <c r="O136" t="s">
        <v>21</v>
      </c>
      <c r="P136">
        <v>20</v>
      </c>
      <c r="Q136">
        <v>1</v>
      </c>
    </row>
    <row r="137" spans="11:17" x14ac:dyDescent="0.3">
      <c r="K137" t="s">
        <v>28</v>
      </c>
      <c r="L137">
        <v>40.670664000000002</v>
      </c>
      <c r="M137">
        <v>22.885539999999999</v>
      </c>
      <c r="N137" t="s">
        <v>5</v>
      </c>
      <c r="O137" t="s">
        <v>21</v>
      </c>
      <c r="P137">
        <v>20</v>
      </c>
      <c r="Q137">
        <v>1</v>
      </c>
    </row>
    <row r="138" spans="11:17" x14ac:dyDescent="0.3">
      <c r="K138" t="s">
        <v>28</v>
      </c>
      <c r="L138">
        <v>40.670876999999997</v>
      </c>
      <c r="M138">
        <v>22.885245000000001</v>
      </c>
      <c r="N138" t="s">
        <v>5</v>
      </c>
      <c r="O138" t="s">
        <v>21</v>
      </c>
      <c r="P138">
        <v>20</v>
      </c>
      <c r="Q138">
        <v>1</v>
      </c>
    </row>
    <row r="139" spans="11:17" x14ac:dyDescent="0.3">
      <c r="K139" t="s">
        <v>28</v>
      </c>
      <c r="L139">
        <v>40.671185999999999</v>
      </c>
      <c r="M139">
        <v>22.884741999999999</v>
      </c>
      <c r="N139" t="s">
        <v>5</v>
      </c>
      <c r="O139" t="s">
        <v>21</v>
      </c>
      <c r="P139">
        <v>20</v>
      </c>
      <c r="Q139">
        <v>1</v>
      </c>
    </row>
    <row r="140" spans="11:17" x14ac:dyDescent="0.3">
      <c r="K140" t="s">
        <v>28</v>
      </c>
      <c r="L140">
        <v>40.672091000000002</v>
      </c>
      <c r="M140">
        <v>22.882936999999998</v>
      </c>
      <c r="N140" t="s">
        <v>5</v>
      </c>
      <c r="O140" t="s">
        <v>21</v>
      </c>
      <c r="P140">
        <v>20</v>
      </c>
      <c r="Q140">
        <v>1</v>
      </c>
    </row>
    <row r="141" spans="11:17" x14ac:dyDescent="0.3">
      <c r="K141" t="s">
        <v>28</v>
      </c>
      <c r="L141">
        <v>40.672375000000002</v>
      </c>
      <c r="M141">
        <v>22.882368</v>
      </c>
      <c r="N141" t="s">
        <v>5</v>
      </c>
      <c r="O141" t="s">
        <v>21</v>
      </c>
      <c r="P141">
        <v>20</v>
      </c>
      <c r="Q141">
        <v>1</v>
      </c>
    </row>
    <row r="142" spans="11:17" x14ac:dyDescent="0.3">
      <c r="K142" t="s">
        <v>28</v>
      </c>
      <c r="L142">
        <v>40.672679000000002</v>
      </c>
      <c r="M142">
        <v>22.881744999999999</v>
      </c>
      <c r="N142" t="s">
        <v>5</v>
      </c>
      <c r="O142" t="s">
        <v>21</v>
      </c>
      <c r="P142">
        <v>20</v>
      </c>
      <c r="Q142">
        <v>1</v>
      </c>
    </row>
    <row r="143" spans="11:17" x14ac:dyDescent="0.3">
      <c r="K143" t="s">
        <v>28</v>
      </c>
      <c r="L143">
        <v>40.672860999999997</v>
      </c>
      <c r="M143">
        <v>22.881375999999999</v>
      </c>
      <c r="N143" t="s">
        <v>5</v>
      </c>
      <c r="O143" t="s">
        <v>21</v>
      </c>
      <c r="P143">
        <v>20</v>
      </c>
      <c r="Q143">
        <v>1</v>
      </c>
    </row>
    <row r="144" spans="11:17" x14ac:dyDescent="0.3">
      <c r="K144" t="s">
        <v>28</v>
      </c>
      <c r="L144">
        <v>40.673152000000002</v>
      </c>
      <c r="M144">
        <v>22.880783999999998</v>
      </c>
      <c r="N144" t="s">
        <v>5</v>
      </c>
      <c r="O144" t="s">
        <v>21</v>
      </c>
      <c r="P144">
        <v>20</v>
      </c>
      <c r="Q144">
        <v>1</v>
      </c>
    </row>
    <row r="145" spans="11:17" x14ac:dyDescent="0.3">
      <c r="K145" t="s">
        <v>28</v>
      </c>
      <c r="L145">
        <v>40.673524999999998</v>
      </c>
      <c r="M145">
        <v>22.880053</v>
      </c>
      <c r="N145" t="s">
        <v>5</v>
      </c>
      <c r="O145" t="s">
        <v>21</v>
      </c>
      <c r="P145">
        <v>20</v>
      </c>
      <c r="Q145">
        <v>1</v>
      </c>
    </row>
    <row r="146" spans="11:17" x14ac:dyDescent="0.3">
      <c r="K146" t="s">
        <v>28</v>
      </c>
      <c r="L146">
        <v>40.673555</v>
      </c>
      <c r="M146">
        <v>22.879996999999999</v>
      </c>
      <c r="N146" t="s">
        <v>5</v>
      </c>
      <c r="O146" t="s">
        <v>21</v>
      </c>
      <c r="P146">
        <v>20</v>
      </c>
      <c r="Q146">
        <v>1</v>
      </c>
    </row>
    <row r="147" spans="11:17" x14ac:dyDescent="0.3">
      <c r="K147" t="s">
        <v>28</v>
      </c>
      <c r="L147">
        <v>40.673685999999996</v>
      </c>
      <c r="M147">
        <v>22.879729999999999</v>
      </c>
      <c r="N147" t="s">
        <v>5</v>
      </c>
      <c r="O147" t="s">
        <v>21</v>
      </c>
      <c r="P147">
        <v>20</v>
      </c>
      <c r="Q147">
        <v>1</v>
      </c>
    </row>
    <row r="148" spans="11:17" x14ac:dyDescent="0.3">
      <c r="K148" t="s">
        <v>28</v>
      </c>
      <c r="L148">
        <v>40.673732999999999</v>
      </c>
      <c r="M148">
        <v>22.879625999999998</v>
      </c>
      <c r="N148" t="s">
        <v>5</v>
      </c>
      <c r="O148" t="s">
        <v>21</v>
      </c>
      <c r="P148">
        <v>20</v>
      </c>
      <c r="Q148">
        <v>1</v>
      </c>
    </row>
    <row r="149" spans="11:17" x14ac:dyDescent="0.3">
      <c r="K149" t="s">
        <v>28</v>
      </c>
      <c r="L149">
        <v>40.673971999999999</v>
      </c>
      <c r="M149">
        <v>22.879142999999999</v>
      </c>
      <c r="N149" t="s">
        <v>5</v>
      </c>
      <c r="O149" t="s">
        <v>21</v>
      </c>
      <c r="P149">
        <v>20</v>
      </c>
      <c r="Q149">
        <v>1</v>
      </c>
    </row>
    <row r="150" spans="11:17" x14ac:dyDescent="0.3">
      <c r="K150" t="s">
        <v>28</v>
      </c>
      <c r="L150">
        <v>40.674138999999997</v>
      </c>
      <c r="M150">
        <v>22.878803999999999</v>
      </c>
      <c r="N150" t="s">
        <v>5</v>
      </c>
      <c r="O150" t="s">
        <v>21</v>
      </c>
      <c r="P150">
        <v>20</v>
      </c>
      <c r="Q150">
        <v>1</v>
      </c>
    </row>
    <row r="151" spans="11:17" x14ac:dyDescent="0.3">
      <c r="K151" t="s">
        <v>28</v>
      </c>
      <c r="L151">
        <v>40.674225</v>
      </c>
      <c r="M151">
        <v>22.878633000000001</v>
      </c>
      <c r="N151" t="s">
        <v>5</v>
      </c>
      <c r="O151" t="s">
        <v>21</v>
      </c>
      <c r="P151">
        <v>20</v>
      </c>
      <c r="Q151">
        <v>1</v>
      </c>
    </row>
    <row r="152" spans="11:17" x14ac:dyDescent="0.3">
      <c r="K152" t="s">
        <v>28</v>
      </c>
      <c r="L152">
        <v>40.674284999999998</v>
      </c>
      <c r="M152">
        <v>22.878511</v>
      </c>
      <c r="N152" t="s">
        <v>5</v>
      </c>
      <c r="O152" t="s">
        <v>21</v>
      </c>
      <c r="P152">
        <v>20</v>
      </c>
      <c r="Q152">
        <v>1</v>
      </c>
    </row>
    <row r="153" spans="11:17" x14ac:dyDescent="0.3">
      <c r="K153" t="s">
        <v>28</v>
      </c>
      <c r="L153">
        <v>40.674522000000003</v>
      </c>
      <c r="M153">
        <v>22.878036000000002</v>
      </c>
      <c r="N153" t="s">
        <v>5</v>
      </c>
      <c r="O153" t="s">
        <v>21</v>
      </c>
      <c r="P153">
        <v>20</v>
      </c>
      <c r="Q153">
        <v>1</v>
      </c>
    </row>
    <row r="154" spans="11:17" x14ac:dyDescent="0.3">
      <c r="K154" t="s">
        <v>28</v>
      </c>
      <c r="L154">
        <v>40.675980000000003</v>
      </c>
      <c r="M154">
        <v>22.87509</v>
      </c>
      <c r="N154" t="s">
        <v>5</v>
      </c>
      <c r="O154" t="s">
        <v>21</v>
      </c>
      <c r="P154">
        <v>20</v>
      </c>
      <c r="Q154">
        <v>1</v>
      </c>
    </row>
    <row r="155" spans="11:17" x14ac:dyDescent="0.3">
      <c r="K155" t="s">
        <v>28</v>
      </c>
      <c r="L155">
        <v>40.676569000000001</v>
      </c>
      <c r="M155">
        <v>22.87387</v>
      </c>
      <c r="N155" t="s">
        <v>5</v>
      </c>
      <c r="O155" t="s">
        <v>21</v>
      </c>
      <c r="P155">
        <v>20</v>
      </c>
      <c r="Q155">
        <v>1</v>
      </c>
    </row>
    <row r="156" spans="11:17" x14ac:dyDescent="0.3">
      <c r="K156" t="s">
        <v>28</v>
      </c>
      <c r="L156">
        <v>40.677469000000002</v>
      </c>
      <c r="M156">
        <v>22.871979</v>
      </c>
      <c r="N156" t="s">
        <v>5</v>
      </c>
      <c r="O156" t="s">
        <v>21</v>
      </c>
      <c r="P156">
        <v>20</v>
      </c>
      <c r="Q156">
        <v>1</v>
      </c>
    </row>
    <row r="157" spans="11:17" x14ac:dyDescent="0.3">
      <c r="K157" t="s">
        <v>28</v>
      </c>
      <c r="L157">
        <v>40.677787000000002</v>
      </c>
      <c r="M157">
        <v>22.871335999999999</v>
      </c>
      <c r="N157" t="s">
        <v>5</v>
      </c>
      <c r="O157" t="s">
        <v>21</v>
      </c>
      <c r="P157">
        <v>20</v>
      </c>
      <c r="Q157">
        <v>1</v>
      </c>
    </row>
    <row r="158" spans="11:17" x14ac:dyDescent="0.3">
      <c r="K158" t="s">
        <v>28</v>
      </c>
      <c r="L158">
        <v>40.677840000000003</v>
      </c>
      <c r="M158">
        <v>22.871227999999999</v>
      </c>
      <c r="N158" t="s">
        <v>5</v>
      </c>
      <c r="O158" t="s">
        <v>21</v>
      </c>
      <c r="P158">
        <v>20</v>
      </c>
      <c r="Q158">
        <v>1</v>
      </c>
    </row>
    <row r="159" spans="11:17" x14ac:dyDescent="0.3">
      <c r="K159" t="s">
        <v>28</v>
      </c>
      <c r="L159">
        <v>40.678308999999999</v>
      </c>
      <c r="M159">
        <v>22.870276</v>
      </c>
      <c r="N159" t="s">
        <v>5</v>
      </c>
      <c r="O159" t="s">
        <v>21</v>
      </c>
      <c r="P159">
        <v>20</v>
      </c>
      <c r="Q159">
        <v>1</v>
      </c>
    </row>
    <row r="160" spans="11:17" x14ac:dyDescent="0.3">
      <c r="K160" t="s">
        <v>28</v>
      </c>
      <c r="L160">
        <v>40.678474999999999</v>
      </c>
      <c r="M160">
        <v>22.869948000000001</v>
      </c>
      <c r="N160" t="s">
        <v>5</v>
      </c>
      <c r="O160" t="s">
        <v>21</v>
      </c>
      <c r="P160">
        <v>20</v>
      </c>
      <c r="Q160">
        <v>1</v>
      </c>
    </row>
    <row r="161" spans="11:17" x14ac:dyDescent="0.3">
      <c r="K161" t="s">
        <v>28</v>
      </c>
      <c r="L161">
        <v>40.678711999999997</v>
      </c>
      <c r="M161">
        <v>22.869506000000001</v>
      </c>
      <c r="N161" t="s">
        <v>5</v>
      </c>
      <c r="O161" t="s">
        <v>21</v>
      </c>
      <c r="P161">
        <v>20</v>
      </c>
      <c r="Q161">
        <v>1</v>
      </c>
    </row>
    <row r="162" spans="11:17" x14ac:dyDescent="0.3">
      <c r="K162" t="s">
        <v>28</v>
      </c>
      <c r="L162">
        <v>40.678899999999999</v>
      </c>
      <c r="M162">
        <v>22.869145</v>
      </c>
      <c r="N162" t="s">
        <v>5</v>
      </c>
      <c r="O162" t="s">
        <v>21</v>
      </c>
      <c r="P162">
        <v>20</v>
      </c>
      <c r="Q162">
        <v>1</v>
      </c>
    </row>
    <row r="163" spans="11:17" x14ac:dyDescent="0.3">
      <c r="K163" t="s">
        <v>28</v>
      </c>
      <c r="L163">
        <v>40.678941000000002</v>
      </c>
      <c r="M163">
        <v>22.869064000000002</v>
      </c>
      <c r="N163" t="s">
        <v>5</v>
      </c>
      <c r="O163" t="s">
        <v>21</v>
      </c>
      <c r="P163">
        <v>20</v>
      </c>
      <c r="Q163">
        <v>1</v>
      </c>
    </row>
    <row r="164" spans="11:17" x14ac:dyDescent="0.3">
      <c r="K164" t="s">
        <v>28</v>
      </c>
      <c r="L164">
        <v>40.679209</v>
      </c>
      <c r="M164">
        <v>22.868794000000001</v>
      </c>
      <c r="N164" t="s">
        <v>5</v>
      </c>
      <c r="O164" t="s">
        <v>21</v>
      </c>
      <c r="P164">
        <v>20</v>
      </c>
      <c r="Q164">
        <v>1</v>
      </c>
    </row>
    <row r="165" spans="11:17" x14ac:dyDescent="0.3">
      <c r="K165" t="s">
        <v>28</v>
      </c>
      <c r="L165">
        <v>40.679419000000003</v>
      </c>
      <c r="M165">
        <v>22.868672</v>
      </c>
      <c r="N165" t="s">
        <v>5</v>
      </c>
      <c r="O165" t="s">
        <v>21</v>
      </c>
      <c r="P165">
        <v>20</v>
      </c>
      <c r="Q165">
        <v>1</v>
      </c>
    </row>
    <row r="166" spans="11:17" x14ac:dyDescent="0.3">
      <c r="K166" t="s">
        <v>28</v>
      </c>
      <c r="L166">
        <v>40.679772</v>
      </c>
      <c r="M166">
        <v>22.868551</v>
      </c>
      <c r="N166" t="s">
        <v>5</v>
      </c>
      <c r="O166" t="s">
        <v>21</v>
      </c>
      <c r="P166">
        <v>20</v>
      </c>
      <c r="Q166">
        <v>1</v>
      </c>
    </row>
    <row r="167" spans="11:17" x14ac:dyDescent="0.3">
      <c r="K167" t="s">
        <v>28</v>
      </c>
      <c r="L167">
        <v>40.679952</v>
      </c>
      <c r="M167">
        <v>22.868462999999998</v>
      </c>
      <c r="N167" t="s">
        <v>5</v>
      </c>
      <c r="O167" t="s">
        <v>21</v>
      </c>
      <c r="P167">
        <v>20</v>
      </c>
      <c r="Q167">
        <v>1</v>
      </c>
    </row>
    <row r="168" spans="11:17" x14ac:dyDescent="0.3">
      <c r="K168" t="s">
        <v>28</v>
      </c>
      <c r="L168">
        <v>40.680242</v>
      </c>
      <c r="M168">
        <v>22.868461</v>
      </c>
      <c r="N168" t="s">
        <v>5</v>
      </c>
      <c r="O168" t="s">
        <v>21</v>
      </c>
      <c r="P168">
        <v>20</v>
      </c>
      <c r="Q168">
        <v>1</v>
      </c>
    </row>
    <row r="169" spans="11:17" x14ac:dyDescent="0.3">
      <c r="K169" t="s">
        <v>28</v>
      </c>
      <c r="L169">
        <v>40.680605999999997</v>
      </c>
      <c r="M169">
        <v>22.868521000000001</v>
      </c>
      <c r="N169" t="s">
        <v>5</v>
      </c>
      <c r="O169" t="s">
        <v>21</v>
      </c>
      <c r="P169">
        <v>20</v>
      </c>
      <c r="Q169">
        <v>1</v>
      </c>
    </row>
    <row r="170" spans="11:17" x14ac:dyDescent="0.3">
      <c r="K170" t="s">
        <v>28</v>
      </c>
      <c r="L170">
        <v>40.681170000000002</v>
      </c>
      <c r="M170">
        <v>22.868652999999998</v>
      </c>
      <c r="N170" t="s">
        <v>5</v>
      </c>
      <c r="O170" t="s">
        <v>21</v>
      </c>
      <c r="P170">
        <v>20</v>
      </c>
      <c r="Q170">
        <v>1</v>
      </c>
    </row>
    <row r="171" spans="11:17" x14ac:dyDescent="0.3">
      <c r="K171" t="s">
        <v>28</v>
      </c>
      <c r="L171">
        <v>40.681429000000001</v>
      </c>
      <c r="M171">
        <v>22.868673000000001</v>
      </c>
      <c r="N171" t="s">
        <v>5</v>
      </c>
      <c r="O171" t="s">
        <v>21</v>
      </c>
      <c r="P171">
        <v>20</v>
      </c>
      <c r="Q171">
        <v>1</v>
      </c>
    </row>
    <row r="172" spans="11:17" x14ac:dyDescent="0.3">
      <c r="K172" t="s">
        <v>28</v>
      </c>
      <c r="L172">
        <v>40.681587</v>
      </c>
      <c r="M172">
        <v>22.868639000000002</v>
      </c>
      <c r="N172" t="s">
        <v>5</v>
      </c>
      <c r="O172" t="s">
        <v>21</v>
      </c>
      <c r="P172">
        <v>20</v>
      </c>
      <c r="Q172">
        <v>1</v>
      </c>
    </row>
    <row r="173" spans="11:17" x14ac:dyDescent="0.3">
      <c r="K173" t="s">
        <v>28</v>
      </c>
      <c r="L173">
        <v>40.683039000000001</v>
      </c>
      <c r="M173">
        <v>22.868137000000001</v>
      </c>
      <c r="N173" t="s">
        <v>5</v>
      </c>
      <c r="O173" t="s">
        <v>21</v>
      </c>
      <c r="P173">
        <v>20</v>
      </c>
      <c r="Q173">
        <v>1</v>
      </c>
    </row>
    <row r="174" spans="11:17" x14ac:dyDescent="0.3">
      <c r="K174" t="s">
        <v>28</v>
      </c>
      <c r="L174">
        <v>40.683441000000002</v>
      </c>
      <c r="M174">
        <v>22.867988</v>
      </c>
      <c r="N174" t="s">
        <v>5</v>
      </c>
      <c r="O174" t="s">
        <v>21</v>
      </c>
      <c r="P174">
        <v>20</v>
      </c>
      <c r="Q174">
        <v>1</v>
      </c>
    </row>
    <row r="175" spans="11:17" x14ac:dyDescent="0.3">
      <c r="K175" t="s">
        <v>28</v>
      </c>
      <c r="L175">
        <v>40.683596999999999</v>
      </c>
      <c r="M175">
        <v>22.867898</v>
      </c>
      <c r="N175" t="s">
        <v>5</v>
      </c>
      <c r="O175" t="s">
        <v>21</v>
      </c>
      <c r="P175">
        <v>20</v>
      </c>
      <c r="Q175">
        <v>1</v>
      </c>
    </row>
    <row r="176" spans="11:17" x14ac:dyDescent="0.3">
      <c r="K176" t="s">
        <v>28</v>
      </c>
      <c r="L176">
        <v>40.683773000000002</v>
      </c>
      <c r="M176">
        <v>22.867761000000002</v>
      </c>
      <c r="N176" t="s">
        <v>5</v>
      </c>
      <c r="O176" t="s">
        <v>21</v>
      </c>
      <c r="P176">
        <v>20</v>
      </c>
      <c r="Q176">
        <v>1</v>
      </c>
    </row>
    <row r="177" spans="11:17" x14ac:dyDescent="0.3">
      <c r="K177" t="s">
        <v>28</v>
      </c>
      <c r="L177">
        <v>40.684854000000001</v>
      </c>
      <c r="M177">
        <v>22.866714999999999</v>
      </c>
      <c r="N177" t="s">
        <v>5</v>
      </c>
      <c r="O177" t="s">
        <v>21</v>
      </c>
      <c r="P177">
        <v>20</v>
      </c>
      <c r="Q177">
        <v>1</v>
      </c>
    </row>
    <row r="178" spans="11:17" x14ac:dyDescent="0.3">
      <c r="K178" t="s">
        <v>28</v>
      </c>
      <c r="L178">
        <v>40.685583000000001</v>
      </c>
      <c r="M178">
        <v>22.866033000000002</v>
      </c>
      <c r="N178" t="s">
        <v>5</v>
      </c>
      <c r="O178" t="s">
        <v>21</v>
      </c>
      <c r="P178">
        <v>20</v>
      </c>
      <c r="Q178">
        <v>1</v>
      </c>
    </row>
    <row r="179" spans="11:17" x14ac:dyDescent="0.3">
      <c r="K179" t="s">
        <v>28</v>
      </c>
      <c r="L179">
        <v>40.686314000000003</v>
      </c>
      <c r="M179">
        <v>22.865345999999999</v>
      </c>
      <c r="N179" t="s">
        <v>5</v>
      </c>
      <c r="O179" t="s">
        <v>21</v>
      </c>
      <c r="P179">
        <v>20</v>
      </c>
      <c r="Q179">
        <v>1</v>
      </c>
    </row>
    <row r="180" spans="11:17" x14ac:dyDescent="0.3">
      <c r="K180" t="s">
        <v>28</v>
      </c>
      <c r="L180">
        <v>40.686515999999997</v>
      </c>
      <c r="M180">
        <v>22.865113999999998</v>
      </c>
      <c r="N180" t="s">
        <v>5</v>
      </c>
      <c r="O180" t="s">
        <v>21</v>
      </c>
      <c r="P180">
        <v>20</v>
      </c>
      <c r="Q180">
        <v>1</v>
      </c>
    </row>
    <row r="181" spans="11:17" x14ac:dyDescent="0.3">
      <c r="K181" t="s">
        <v>28</v>
      </c>
      <c r="L181">
        <v>40.686618000000003</v>
      </c>
      <c r="M181">
        <v>22.864965999999999</v>
      </c>
      <c r="N181" t="s">
        <v>5</v>
      </c>
      <c r="O181" t="s">
        <v>21</v>
      </c>
      <c r="P181">
        <v>20</v>
      </c>
      <c r="Q181">
        <v>1</v>
      </c>
    </row>
    <row r="182" spans="11:17" x14ac:dyDescent="0.3">
      <c r="K182" t="s">
        <v>28</v>
      </c>
      <c r="L182">
        <v>40.686909</v>
      </c>
      <c r="M182">
        <v>22.864456000000001</v>
      </c>
      <c r="N182" t="s">
        <v>5</v>
      </c>
      <c r="O182" t="s">
        <v>21</v>
      </c>
      <c r="P182">
        <v>20</v>
      </c>
      <c r="Q182">
        <v>1</v>
      </c>
    </row>
    <row r="183" spans="11:17" x14ac:dyDescent="0.3">
      <c r="K183" t="s">
        <v>28</v>
      </c>
      <c r="L183">
        <v>40.687004999999999</v>
      </c>
      <c r="M183">
        <v>22.864294999999998</v>
      </c>
      <c r="N183" t="s">
        <v>5</v>
      </c>
      <c r="O183" t="s">
        <v>21</v>
      </c>
      <c r="P183">
        <v>20</v>
      </c>
      <c r="Q183">
        <v>1</v>
      </c>
    </row>
    <row r="184" spans="11:17" x14ac:dyDescent="0.3">
      <c r="K184" t="s">
        <v>28</v>
      </c>
      <c r="L184">
        <v>40.687365</v>
      </c>
      <c r="M184">
        <v>22.863676000000002</v>
      </c>
      <c r="N184" t="s">
        <v>5</v>
      </c>
      <c r="O184" t="s">
        <v>21</v>
      </c>
      <c r="P184">
        <v>20</v>
      </c>
      <c r="Q184">
        <v>1</v>
      </c>
    </row>
    <row r="185" spans="11:17" x14ac:dyDescent="0.3">
      <c r="K185" t="s">
        <v>28</v>
      </c>
      <c r="L185">
        <v>40.687703999999997</v>
      </c>
      <c r="M185">
        <v>22.863195999999999</v>
      </c>
      <c r="N185" t="s">
        <v>5</v>
      </c>
      <c r="O185" t="s">
        <v>21</v>
      </c>
      <c r="P185">
        <v>20</v>
      </c>
      <c r="Q185">
        <v>1</v>
      </c>
    </row>
    <row r="186" spans="11:17" x14ac:dyDescent="0.3">
      <c r="K186" t="s">
        <v>28</v>
      </c>
      <c r="L186">
        <v>40.688324999999999</v>
      </c>
      <c r="M186">
        <v>22.862352999999999</v>
      </c>
      <c r="N186" t="s">
        <v>5</v>
      </c>
      <c r="O186" t="s">
        <v>21</v>
      </c>
      <c r="P186">
        <v>20</v>
      </c>
      <c r="Q186">
        <v>1</v>
      </c>
    </row>
    <row r="187" spans="11:17" x14ac:dyDescent="0.3">
      <c r="K187" t="s">
        <v>28</v>
      </c>
      <c r="L187">
        <v>40.689135999999998</v>
      </c>
      <c r="M187">
        <v>22.861415999999998</v>
      </c>
      <c r="N187" t="s">
        <v>5</v>
      </c>
      <c r="O187" t="s">
        <v>21</v>
      </c>
      <c r="P187">
        <v>20</v>
      </c>
      <c r="Q187">
        <v>1</v>
      </c>
    </row>
    <row r="188" spans="11:17" x14ac:dyDescent="0.3">
      <c r="K188" t="s">
        <v>28</v>
      </c>
      <c r="L188">
        <v>40.690264999999997</v>
      </c>
      <c r="M188">
        <v>22.860102999999999</v>
      </c>
      <c r="N188" t="s">
        <v>5</v>
      </c>
      <c r="O188" t="s">
        <v>21</v>
      </c>
      <c r="P188">
        <v>20</v>
      </c>
      <c r="Q188">
        <v>1</v>
      </c>
    </row>
    <row r="189" spans="11:17" x14ac:dyDescent="0.3">
      <c r="K189" t="s">
        <v>28</v>
      </c>
      <c r="L189">
        <v>40.690601999999998</v>
      </c>
      <c r="M189">
        <v>22.859766</v>
      </c>
      <c r="N189" t="s">
        <v>5</v>
      </c>
      <c r="O189" t="s">
        <v>21</v>
      </c>
      <c r="P189">
        <v>20</v>
      </c>
      <c r="Q189">
        <v>1</v>
      </c>
    </row>
    <row r="190" spans="11:17" x14ac:dyDescent="0.3">
      <c r="K190" t="s">
        <v>28</v>
      </c>
      <c r="L190">
        <v>40.691223000000001</v>
      </c>
      <c r="M190">
        <v>22.859119</v>
      </c>
      <c r="N190" t="s">
        <v>5</v>
      </c>
      <c r="O190" t="s">
        <v>21</v>
      </c>
      <c r="P190">
        <v>20</v>
      </c>
      <c r="Q190">
        <v>1</v>
      </c>
    </row>
    <row r="191" spans="11:17" x14ac:dyDescent="0.3">
      <c r="K191" t="s">
        <v>28</v>
      </c>
      <c r="L191">
        <v>40.691724999999998</v>
      </c>
      <c r="M191">
        <v>22.858604</v>
      </c>
      <c r="N191" t="s">
        <v>5</v>
      </c>
      <c r="O191" t="s">
        <v>21</v>
      </c>
      <c r="P191">
        <v>20</v>
      </c>
      <c r="Q191">
        <v>1</v>
      </c>
    </row>
    <row r="192" spans="11:17" x14ac:dyDescent="0.3">
      <c r="K192" t="s">
        <v>28</v>
      </c>
      <c r="L192">
        <v>40.691845999999998</v>
      </c>
      <c r="M192">
        <v>22.85849</v>
      </c>
      <c r="N192" t="s">
        <v>5</v>
      </c>
      <c r="O192" t="s">
        <v>21</v>
      </c>
      <c r="P192">
        <v>20</v>
      </c>
      <c r="Q192">
        <v>1</v>
      </c>
    </row>
    <row r="193" spans="11:17" x14ac:dyDescent="0.3">
      <c r="K193" t="s">
        <v>28</v>
      </c>
      <c r="L193">
        <v>40.692031</v>
      </c>
      <c r="M193">
        <v>22.858357999999999</v>
      </c>
      <c r="N193" t="s">
        <v>5</v>
      </c>
      <c r="O193" t="s">
        <v>21</v>
      </c>
      <c r="P193">
        <v>20</v>
      </c>
      <c r="Q193">
        <v>1</v>
      </c>
    </row>
    <row r="194" spans="11:17" x14ac:dyDescent="0.3">
      <c r="K194" t="s">
        <v>28</v>
      </c>
      <c r="L194">
        <v>40.692829000000003</v>
      </c>
      <c r="M194">
        <v>22.857904000000001</v>
      </c>
      <c r="N194" t="s">
        <v>5</v>
      </c>
      <c r="O194" t="s">
        <v>21</v>
      </c>
      <c r="P194">
        <v>20</v>
      </c>
      <c r="Q194">
        <v>1</v>
      </c>
    </row>
    <row r="195" spans="11:17" x14ac:dyDescent="0.3">
      <c r="K195" t="s">
        <v>28</v>
      </c>
      <c r="L195">
        <v>40.693182</v>
      </c>
      <c r="M195">
        <v>22.857714999999999</v>
      </c>
      <c r="N195" t="s">
        <v>5</v>
      </c>
      <c r="O195" t="s">
        <v>21</v>
      </c>
      <c r="P195">
        <v>20</v>
      </c>
      <c r="Q195">
        <v>1</v>
      </c>
    </row>
    <row r="196" spans="11:17" x14ac:dyDescent="0.3">
      <c r="K196" t="s">
        <v>28</v>
      </c>
      <c r="L196">
        <v>40.693694999999998</v>
      </c>
      <c r="M196">
        <v>22.857451999999999</v>
      </c>
      <c r="N196" t="s">
        <v>5</v>
      </c>
      <c r="O196" t="s">
        <v>21</v>
      </c>
      <c r="P196">
        <v>20</v>
      </c>
      <c r="Q196">
        <v>1</v>
      </c>
    </row>
    <row r="197" spans="11:17" x14ac:dyDescent="0.3">
      <c r="K197" t="s">
        <v>28</v>
      </c>
      <c r="L197">
        <v>40.694146000000003</v>
      </c>
      <c r="M197">
        <v>22.857189999999999</v>
      </c>
      <c r="N197" t="s">
        <v>5</v>
      </c>
      <c r="O197" t="s">
        <v>21</v>
      </c>
      <c r="P197">
        <v>20</v>
      </c>
      <c r="Q197">
        <v>1</v>
      </c>
    </row>
    <row r="198" spans="11:17" x14ac:dyDescent="0.3">
      <c r="K198" t="s">
        <v>28</v>
      </c>
      <c r="L198">
        <v>40.694113999999999</v>
      </c>
      <c r="M198">
        <v>22.857068999999999</v>
      </c>
      <c r="N198" t="s">
        <v>5</v>
      </c>
      <c r="O198" t="s">
        <v>21</v>
      </c>
      <c r="P198">
        <v>20</v>
      </c>
      <c r="Q198">
        <v>1</v>
      </c>
    </row>
    <row r="199" spans="11:17" x14ac:dyDescent="0.3">
      <c r="K199" t="s">
        <v>28</v>
      </c>
      <c r="L199">
        <v>40.694114999999996</v>
      </c>
      <c r="M199">
        <v>22.85697</v>
      </c>
      <c r="N199" t="s">
        <v>5</v>
      </c>
      <c r="O199" t="s">
        <v>21</v>
      </c>
      <c r="P199">
        <v>20</v>
      </c>
      <c r="Q199">
        <v>1</v>
      </c>
    </row>
    <row r="200" spans="11:17" x14ac:dyDescent="0.3">
      <c r="K200" t="s">
        <v>28</v>
      </c>
      <c r="L200">
        <v>40.694181</v>
      </c>
      <c r="M200">
        <v>22.856784000000001</v>
      </c>
      <c r="N200" t="s">
        <v>5</v>
      </c>
      <c r="O200" t="s">
        <v>21</v>
      </c>
      <c r="P200">
        <v>20</v>
      </c>
      <c r="Q200">
        <v>1</v>
      </c>
    </row>
    <row r="201" spans="11:17" x14ac:dyDescent="0.3">
      <c r="K201" t="s">
        <v>28</v>
      </c>
      <c r="L201">
        <v>40.694437999999998</v>
      </c>
      <c r="M201">
        <v>22.855768000000001</v>
      </c>
      <c r="N201" t="s">
        <v>5</v>
      </c>
      <c r="O201" t="s">
        <v>21</v>
      </c>
      <c r="P201">
        <v>20</v>
      </c>
      <c r="Q201">
        <v>1</v>
      </c>
    </row>
    <row r="202" spans="11:17" x14ac:dyDescent="0.3">
      <c r="K202" t="s">
        <v>28</v>
      </c>
      <c r="L202">
        <v>40.694521999999999</v>
      </c>
      <c r="M202">
        <v>22.855488999999999</v>
      </c>
      <c r="N202" t="s">
        <v>5</v>
      </c>
      <c r="O202" t="s">
        <v>21</v>
      </c>
      <c r="P202">
        <v>20</v>
      </c>
      <c r="Q202">
        <v>1</v>
      </c>
    </row>
    <row r="203" spans="11:17" x14ac:dyDescent="0.3">
      <c r="K203" t="s">
        <v>28</v>
      </c>
      <c r="L203">
        <v>40.694586000000001</v>
      </c>
      <c r="M203">
        <v>22.855340999999999</v>
      </c>
      <c r="N203" t="s">
        <v>5</v>
      </c>
      <c r="O203" t="s">
        <v>21</v>
      </c>
      <c r="P203">
        <v>20</v>
      </c>
      <c r="Q203">
        <v>1</v>
      </c>
    </row>
    <row r="204" spans="11:17" x14ac:dyDescent="0.3">
      <c r="K204" t="s">
        <v>28</v>
      </c>
      <c r="L204">
        <v>40.694695000000003</v>
      </c>
      <c r="M204">
        <v>22.855187000000001</v>
      </c>
      <c r="N204" t="s">
        <v>5</v>
      </c>
      <c r="O204" t="s">
        <v>21</v>
      </c>
      <c r="P204">
        <v>20</v>
      </c>
      <c r="Q204">
        <v>1</v>
      </c>
    </row>
    <row r="205" spans="11:17" x14ac:dyDescent="0.3">
      <c r="K205" t="s">
        <v>28</v>
      </c>
      <c r="L205">
        <v>40.694972</v>
      </c>
      <c r="M205">
        <v>22.854870999999999</v>
      </c>
      <c r="N205" t="s">
        <v>5</v>
      </c>
      <c r="O205" t="s">
        <v>21</v>
      </c>
      <c r="P205">
        <v>20</v>
      </c>
      <c r="Q205">
        <v>1</v>
      </c>
    </row>
    <row r="206" spans="11:17" x14ac:dyDescent="0.3">
      <c r="K206" t="s">
        <v>28</v>
      </c>
      <c r="L206">
        <v>40.695205999999999</v>
      </c>
      <c r="M206">
        <v>22.854619</v>
      </c>
      <c r="N206" t="s">
        <v>5</v>
      </c>
      <c r="O206" t="s">
        <v>21</v>
      </c>
      <c r="P206">
        <v>20</v>
      </c>
      <c r="Q206">
        <v>1</v>
      </c>
    </row>
    <row r="207" spans="11:17" x14ac:dyDescent="0.3">
      <c r="K207" t="s">
        <v>28</v>
      </c>
      <c r="L207">
        <v>40.695729999999998</v>
      </c>
      <c r="M207">
        <v>22.854105000000001</v>
      </c>
      <c r="N207" t="s">
        <v>5</v>
      </c>
      <c r="O207" t="s">
        <v>21</v>
      </c>
      <c r="P207">
        <v>20</v>
      </c>
      <c r="Q207">
        <v>1</v>
      </c>
    </row>
    <row r="208" spans="11:17" x14ac:dyDescent="0.3">
      <c r="K208" t="s">
        <v>28</v>
      </c>
      <c r="L208">
        <v>40.696331000000001</v>
      </c>
      <c r="M208">
        <v>22.853429999999999</v>
      </c>
      <c r="N208" t="s">
        <v>5</v>
      </c>
      <c r="O208" t="s">
        <v>21</v>
      </c>
      <c r="P208">
        <v>20</v>
      </c>
      <c r="Q208">
        <v>1</v>
      </c>
    </row>
    <row r="209" spans="11:17" x14ac:dyDescent="0.3">
      <c r="K209" t="s">
        <v>28</v>
      </c>
      <c r="L209">
        <v>40.696106999999998</v>
      </c>
      <c r="M209">
        <v>22.852436999999998</v>
      </c>
      <c r="N209" t="s">
        <v>5</v>
      </c>
      <c r="O209" t="s">
        <v>21</v>
      </c>
      <c r="P209">
        <v>20</v>
      </c>
      <c r="Q209">
        <v>1</v>
      </c>
    </row>
    <row r="210" spans="11:17" x14ac:dyDescent="0.3">
      <c r="K210" t="s">
        <v>28</v>
      </c>
      <c r="L210">
        <v>40.695931999999999</v>
      </c>
      <c r="M210">
        <v>22.851806</v>
      </c>
      <c r="N210" t="s">
        <v>5</v>
      </c>
      <c r="O210" t="s">
        <v>21</v>
      </c>
      <c r="P210">
        <v>20</v>
      </c>
      <c r="Q210">
        <v>1</v>
      </c>
    </row>
    <row r="211" spans="11:17" x14ac:dyDescent="0.3">
      <c r="K211" t="s">
        <v>28</v>
      </c>
      <c r="L211">
        <v>40.695773000000003</v>
      </c>
      <c r="M211">
        <v>22.851267</v>
      </c>
      <c r="N211" t="s">
        <v>5</v>
      </c>
      <c r="O211" t="s">
        <v>21</v>
      </c>
      <c r="P211">
        <v>20</v>
      </c>
      <c r="Q211">
        <v>1</v>
      </c>
    </row>
    <row r="212" spans="11:17" x14ac:dyDescent="0.3">
      <c r="K212" t="s">
        <v>28</v>
      </c>
      <c r="L212">
        <v>40.695604000000003</v>
      </c>
      <c r="M212">
        <v>22.850764000000002</v>
      </c>
      <c r="N212" t="s">
        <v>5</v>
      </c>
      <c r="O212" t="s">
        <v>21</v>
      </c>
      <c r="P212">
        <v>20</v>
      </c>
      <c r="Q212">
        <v>1</v>
      </c>
    </row>
    <row r="213" spans="11:17" x14ac:dyDescent="0.3">
      <c r="K213" t="s">
        <v>28</v>
      </c>
      <c r="L213">
        <v>40.694842000000001</v>
      </c>
      <c r="M213">
        <v>22.848863999999999</v>
      </c>
      <c r="N213" t="s">
        <v>5</v>
      </c>
      <c r="O213" t="s">
        <v>21</v>
      </c>
      <c r="P213">
        <v>20</v>
      </c>
      <c r="Q213">
        <v>1</v>
      </c>
    </row>
    <row r="214" spans="11:17" x14ac:dyDescent="0.3">
      <c r="K214" t="s">
        <v>28</v>
      </c>
      <c r="L214">
        <v>40.694766999999999</v>
      </c>
      <c r="M214">
        <v>22.848745000000001</v>
      </c>
      <c r="N214" t="s">
        <v>5</v>
      </c>
      <c r="O214" t="s">
        <v>21</v>
      </c>
      <c r="P214">
        <v>20</v>
      </c>
      <c r="Q214">
        <v>1</v>
      </c>
    </row>
    <row r="215" spans="11:17" x14ac:dyDescent="0.3">
      <c r="K215" t="s">
        <v>28</v>
      </c>
      <c r="L215">
        <v>40.694578</v>
      </c>
      <c r="M215">
        <v>22.848548999999998</v>
      </c>
      <c r="N215" t="s">
        <v>5</v>
      </c>
      <c r="O215" t="s">
        <v>21</v>
      </c>
      <c r="P215">
        <v>20</v>
      </c>
      <c r="Q215">
        <v>1</v>
      </c>
    </row>
    <row r="216" spans="11:17" x14ac:dyDescent="0.3">
      <c r="K216" t="s">
        <v>28</v>
      </c>
      <c r="L216">
        <v>40.694442000000002</v>
      </c>
      <c r="M216">
        <v>22.848482000000001</v>
      </c>
      <c r="N216" t="s">
        <v>5</v>
      </c>
      <c r="O216" t="s">
        <v>21</v>
      </c>
      <c r="P216">
        <v>20</v>
      </c>
      <c r="Q216">
        <v>1</v>
      </c>
    </row>
    <row r="217" spans="11:17" x14ac:dyDescent="0.3">
      <c r="K217" t="s">
        <v>28</v>
      </c>
      <c r="L217">
        <v>40.694262999999999</v>
      </c>
      <c r="M217">
        <v>22.848441999999999</v>
      </c>
      <c r="N217" t="s">
        <v>5</v>
      </c>
      <c r="O217" t="s">
        <v>21</v>
      </c>
      <c r="P217">
        <v>20</v>
      </c>
      <c r="Q217">
        <v>1</v>
      </c>
    </row>
    <row r="218" spans="11:17" x14ac:dyDescent="0.3">
      <c r="K218" t="s">
        <v>28</v>
      </c>
      <c r="L218">
        <v>40.694093000000002</v>
      </c>
      <c r="M218">
        <v>22.848465999999998</v>
      </c>
      <c r="N218" t="s">
        <v>5</v>
      </c>
      <c r="O218" t="s">
        <v>21</v>
      </c>
      <c r="P218">
        <v>20</v>
      </c>
      <c r="Q218">
        <v>1</v>
      </c>
    </row>
    <row r="219" spans="11:17" x14ac:dyDescent="0.3">
      <c r="K219" t="s">
        <v>28</v>
      </c>
      <c r="L219">
        <v>40.693700999999997</v>
      </c>
      <c r="M219">
        <v>22.848569000000001</v>
      </c>
      <c r="N219" t="s">
        <v>5</v>
      </c>
      <c r="O219" t="s">
        <v>21</v>
      </c>
      <c r="P219">
        <v>20</v>
      </c>
      <c r="Q219">
        <v>1</v>
      </c>
    </row>
    <row r="220" spans="11:17" x14ac:dyDescent="0.3">
      <c r="K220" t="s">
        <v>28</v>
      </c>
      <c r="L220">
        <v>40.693511999999998</v>
      </c>
      <c r="M220">
        <v>22.848548999999998</v>
      </c>
      <c r="N220" t="s">
        <v>5</v>
      </c>
      <c r="O220" t="s">
        <v>21</v>
      </c>
      <c r="P220">
        <v>20</v>
      </c>
      <c r="Q220">
        <v>1</v>
      </c>
    </row>
    <row r="221" spans="11:17" x14ac:dyDescent="0.3">
      <c r="K221" t="s">
        <v>28</v>
      </c>
      <c r="L221">
        <v>40.693353999999999</v>
      </c>
      <c r="M221">
        <v>22.848479999999999</v>
      </c>
      <c r="N221" t="s">
        <v>5</v>
      </c>
      <c r="O221" t="s">
        <v>21</v>
      </c>
      <c r="P221">
        <v>20</v>
      </c>
      <c r="Q221">
        <v>1</v>
      </c>
    </row>
    <row r="222" spans="11:17" x14ac:dyDescent="0.3">
      <c r="K222" t="s">
        <v>28</v>
      </c>
      <c r="L222">
        <v>40.669091999999999</v>
      </c>
      <c r="M222">
        <v>22.935068000000001</v>
      </c>
      <c r="N222" t="s">
        <v>6</v>
      </c>
      <c r="O222" t="s">
        <v>21</v>
      </c>
      <c r="P222">
        <v>20</v>
      </c>
      <c r="Q222">
        <v>3</v>
      </c>
    </row>
    <row r="223" spans="11:17" x14ac:dyDescent="0.3">
      <c r="K223" t="s">
        <v>28</v>
      </c>
      <c r="L223">
        <v>40.669280000000001</v>
      </c>
      <c r="M223">
        <v>22.935155000000002</v>
      </c>
      <c r="N223" t="s">
        <v>6</v>
      </c>
      <c r="O223" t="s">
        <v>21</v>
      </c>
      <c r="P223">
        <v>20</v>
      </c>
      <c r="Q223">
        <v>3</v>
      </c>
    </row>
    <row r="224" spans="11:17" x14ac:dyDescent="0.3">
      <c r="K224" t="s">
        <v>28</v>
      </c>
      <c r="L224">
        <v>40.669241</v>
      </c>
      <c r="M224">
        <v>22.935576999999999</v>
      </c>
      <c r="N224" t="s">
        <v>6</v>
      </c>
      <c r="O224" t="s">
        <v>21</v>
      </c>
      <c r="P224">
        <v>20</v>
      </c>
      <c r="Q224">
        <v>3</v>
      </c>
    </row>
    <row r="225" spans="11:17" x14ac:dyDescent="0.3">
      <c r="K225" t="s">
        <v>28</v>
      </c>
      <c r="L225">
        <v>40.669223000000002</v>
      </c>
      <c r="M225">
        <v>22.935787000000001</v>
      </c>
      <c r="N225" t="s">
        <v>6</v>
      </c>
      <c r="O225" t="s">
        <v>21</v>
      </c>
      <c r="P225">
        <v>20</v>
      </c>
      <c r="Q225">
        <v>3</v>
      </c>
    </row>
    <row r="226" spans="11:17" x14ac:dyDescent="0.3">
      <c r="K226" t="s">
        <v>28</v>
      </c>
      <c r="L226">
        <v>40.669355000000003</v>
      </c>
      <c r="M226">
        <v>22.935818000000001</v>
      </c>
      <c r="N226" t="s">
        <v>6</v>
      </c>
      <c r="O226" t="s">
        <v>21</v>
      </c>
      <c r="P226">
        <v>20</v>
      </c>
      <c r="Q226">
        <v>3</v>
      </c>
    </row>
    <row r="227" spans="11:17" x14ac:dyDescent="0.3">
      <c r="K227" t="s">
        <v>28</v>
      </c>
      <c r="L227">
        <v>40.669384000000001</v>
      </c>
      <c r="M227">
        <v>22.935797999999998</v>
      </c>
      <c r="N227" t="s">
        <v>6</v>
      </c>
      <c r="O227" t="s">
        <v>21</v>
      </c>
      <c r="P227">
        <v>20</v>
      </c>
      <c r="Q227">
        <v>3</v>
      </c>
    </row>
    <row r="228" spans="11:17" x14ac:dyDescent="0.3">
      <c r="K228" t="s">
        <v>28</v>
      </c>
      <c r="L228">
        <v>40.669533999999999</v>
      </c>
      <c r="M228">
        <v>22.935711999999999</v>
      </c>
      <c r="N228" t="s">
        <v>6</v>
      </c>
      <c r="O228" t="s">
        <v>21</v>
      </c>
      <c r="P228">
        <v>20</v>
      </c>
      <c r="Q228">
        <v>3</v>
      </c>
    </row>
    <row r="229" spans="11:17" x14ac:dyDescent="0.3">
      <c r="K229" t="s">
        <v>28</v>
      </c>
      <c r="L229">
        <v>40.669638999999997</v>
      </c>
      <c r="M229">
        <v>22.934968999999999</v>
      </c>
      <c r="N229" t="s">
        <v>6</v>
      </c>
      <c r="O229" t="s">
        <v>21</v>
      </c>
      <c r="P229">
        <v>20</v>
      </c>
      <c r="Q229">
        <v>3</v>
      </c>
    </row>
    <row r="230" spans="11:17" x14ac:dyDescent="0.3">
      <c r="K230" t="s">
        <v>28</v>
      </c>
      <c r="L230">
        <v>40.669701000000003</v>
      </c>
      <c r="M230">
        <v>22.934566</v>
      </c>
      <c r="N230" t="s">
        <v>6</v>
      </c>
      <c r="O230" t="s">
        <v>21</v>
      </c>
      <c r="P230">
        <v>20</v>
      </c>
      <c r="Q230">
        <v>3</v>
      </c>
    </row>
    <row r="231" spans="11:17" x14ac:dyDescent="0.3">
      <c r="K231" t="s">
        <v>28</v>
      </c>
      <c r="L231">
        <v>40.669845000000002</v>
      </c>
      <c r="M231">
        <v>22.933883000000002</v>
      </c>
      <c r="N231" t="s">
        <v>6</v>
      </c>
      <c r="O231" t="s">
        <v>21</v>
      </c>
      <c r="P231">
        <v>20</v>
      </c>
      <c r="Q231">
        <v>3</v>
      </c>
    </row>
    <row r="232" spans="11:17" x14ac:dyDescent="0.3">
      <c r="K232" t="s">
        <v>28</v>
      </c>
      <c r="L232">
        <v>40.66995</v>
      </c>
      <c r="M232">
        <v>22.933240000000001</v>
      </c>
      <c r="N232" t="s">
        <v>6</v>
      </c>
      <c r="O232" t="s">
        <v>21</v>
      </c>
      <c r="P232">
        <v>20</v>
      </c>
      <c r="Q232">
        <v>3</v>
      </c>
    </row>
    <row r="233" spans="11:17" x14ac:dyDescent="0.3">
      <c r="K233" t="s">
        <v>28</v>
      </c>
      <c r="L233">
        <v>40.670217000000001</v>
      </c>
      <c r="M233">
        <v>22.933311</v>
      </c>
      <c r="N233" t="s">
        <v>6</v>
      </c>
      <c r="O233" t="s">
        <v>21</v>
      </c>
      <c r="P233">
        <v>20</v>
      </c>
      <c r="Q233">
        <v>3</v>
      </c>
    </row>
    <row r="234" spans="11:17" x14ac:dyDescent="0.3">
      <c r="K234" t="s">
        <v>28</v>
      </c>
      <c r="L234">
        <v>40.670541</v>
      </c>
      <c r="M234">
        <v>22.933402999999998</v>
      </c>
      <c r="N234" t="s">
        <v>6</v>
      </c>
      <c r="O234" t="s">
        <v>21</v>
      </c>
      <c r="P234">
        <v>20</v>
      </c>
      <c r="Q234">
        <v>3</v>
      </c>
    </row>
    <row r="235" spans="11:17" x14ac:dyDescent="0.3">
      <c r="K235" t="s">
        <v>28</v>
      </c>
      <c r="L235">
        <v>40.670594000000001</v>
      </c>
      <c r="M235">
        <v>22.933416999999999</v>
      </c>
      <c r="N235" t="s">
        <v>6</v>
      </c>
      <c r="O235" t="s">
        <v>21</v>
      </c>
      <c r="P235">
        <v>20</v>
      </c>
      <c r="Q235">
        <v>3</v>
      </c>
    </row>
    <row r="236" spans="11:17" x14ac:dyDescent="0.3">
      <c r="K236" t="s">
        <v>28</v>
      </c>
      <c r="L236">
        <v>40.671377</v>
      </c>
      <c r="M236">
        <v>22.933637000000001</v>
      </c>
      <c r="N236" t="s">
        <v>6</v>
      </c>
      <c r="O236" t="s">
        <v>21</v>
      </c>
      <c r="P236">
        <v>20</v>
      </c>
      <c r="Q236">
        <v>3</v>
      </c>
    </row>
    <row r="237" spans="11:17" x14ac:dyDescent="0.3">
      <c r="K237" t="s">
        <v>28</v>
      </c>
      <c r="L237">
        <v>40.671610000000001</v>
      </c>
      <c r="M237">
        <v>22.933700999999999</v>
      </c>
      <c r="N237" t="s">
        <v>6</v>
      </c>
      <c r="O237" t="s">
        <v>21</v>
      </c>
      <c r="P237">
        <v>20</v>
      </c>
      <c r="Q237">
        <v>3</v>
      </c>
    </row>
    <row r="238" spans="11:17" x14ac:dyDescent="0.3">
      <c r="K238" t="s">
        <v>28</v>
      </c>
      <c r="L238">
        <v>40.671861999999997</v>
      </c>
      <c r="M238">
        <v>22.933769000000002</v>
      </c>
      <c r="N238" t="s">
        <v>6</v>
      </c>
      <c r="O238" t="s">
        <v>21</v>
      </c>
      <c r="P238">
        <v>20</v>
      </c>
      <c r="Q238">
        <v>3</v>
      </c>
    </row>
    <row r="239" spans="11:17" x14ac:dyDescent="0.3">
      <c r="K239" t="s">
        <v>28</v>
      </c>
      <c r="L239">
        <v>40.672181999999999</v>
      </c>
      <c r="M239">
        <v>22.933855999999999</v>
      </c>
      <c r="N239" t="s">
        <v>6</v>
      </c>
      <c r="O239" t="s">
        <v>21</v>
      </c>
      <c r="P239">
        <v>20</v>
      </c>
      <c r="Q239">
        <v>3</v>
      </c>
    </row>
    <row r="240" spans="11:17" x14ac:dyDescent="0.3">
      <c r="K240" t="s">
        <v>28</v>
      </c>
      <c r="L240">
        <v>40.672260000000001</v>
      </c>
      <c r="M240">
        <v>22.933878</v>
      </c>
      <c r="N240" t="s">
        <v>6</v>
      </c>
      <c r="O240" t="s">
        <v>21</v>
      </c>
      <c r="P240">
        <v>20</v>
      </c>
      <c r="Q240">
        <v>3</v>
      </c>
    </row>
    <row r="241" spans="11:17" x14ac:dyDescent="0.3">
      <c r="K241" t="s">
        <v>28</v>
      </c>
      <c r="L241">
        <v>40.672542999999997</v>
      </c>
      <c r="M241">
        <v>22.933961</v>
      </c>
      <c r="N241" t="s">
        <v>6</v>
      </c>
      <c r="O241" t="s">
        <v>21</v>
      </c>
      <c r="P241">
        <v>20</v>
      </c>
      <c r="Q241">
        <v>3</v>
      </c>
    </row>
    <row r="242" spans="11:17" x14ac:dyDescent="0.3">
      <c r="K242" t="s">
        <v>28</v>
      </c>
      <c r="L242">
        <v>40.672893999999999</v>
      </c>
      <c r="M242">
        <v>22.934037</v>
      </c>
      <c r="N242" t="s">
        <v>6</v>
      </c>
      <c r="O242" t="s">
        <v>21</v>
      </c>
      <c r="P242">
        <v>20</v>
      </c>
      <c r="Q242">
        <v>3</v>
      </c>
    </row>
    <row r="243" spans="11:17" x14ac:dyDescent="0.3">
      <c r="K243" t="s">
        <v>28</v>
      </c>
      <c r="L243">
        <v>40.673015999999997</v>
      </c>
      <c r="M243">
        <v>22.934070999999999</v>
      </c>
      <c r="N243" t="s">
        <v>6</v>
      </c>
      <c r="O243" t="s">
        <v>21</v>
      </c>
      <c r="P243">
        <v>20</v>
      </c>
      <c r="Q243">
        <v>3</v>
      </c>
    </row>
    <row r="244" spans="11:17" x14ac:dyDescent="0.3">
      <c r="K244" t="s">
        <v>28</v>
      </c>
      <c r="L244">
        <v>40.673205000000003</v>
      </c>
      <c r="M244">
        <v>22.934111000000001</v>
      </c>
      <c r="N244" t="s">
        <v>6</v>
      </c>
      <c r="O244" t="s">
        <v>21</v>
      </c>
      <c r="P244">
        <v>20</v>
      </c>
      <c r="Q244">
        <v>3</v>
      </c>
    </row>
    <row r="245" spans="11:17" x14ac:dyDescent="0.3">
      <c r="K245" t="s">
        <v>28</v>
      </c>
      <c r="L245">
        <v>40.673479999999998</v>
      </c>
      <c r="M245">
        <v>22.934228999999998</v>
      </c>
      <c r="N245" t="s">
        <v>6</v>
      </c>
      <c r="O245" t="s">
        <v>21</v>
      </c>
      <c r="P245">
        <v>20</v>
      </c>
      <c r="Q245">
        <v>3</v>
      </c>
    </row>
    <row r="246" spans="11:17" x14ac:dyDescent="0.3">
      <c r="K246" t="s">
        <v>28</v>
      </c>
      <c r="L246">
        <v>40.673806999999996</v>
      </c>
      <c r="M246">
        <v>22.934474000000002</v>
      </c>
      <c r="N246" t="s">
        <v>6</v>
      </c>
      <c r="O246" t="s">
        <v>21</v>
      </c>
      <c r="P246">
        <v>20</v>
      </c>
      <c r="Q246">
        <v>3</v>
      </c>
    </row>
    <row r="247" spans="11:17" x14ac:dyDescent="0.3">
      <c r="K247" t="s">
        <v>28</v>
      </c>
      <c r="L247">
        <v>40.673904999999998</v>
      </c>
      <c r="M247">
        <v>22.934545</v>
      </c>
      <c r="N247" t="s">
        <v>6</v>
      </c>
      <c r="O247" t="s">
        <v>21</v>
      </c>
      <c r="P247">
        <v>20</v>
      </c>
      <c r="Q247">
        <v>3</v>
      </c>
    </row>
    <row r="248" spans="11:17" x14ac:dyDescent="0.3">
      <c r="K248" t="s">
        <v>28</v>
      </c>
      <c r="L248">
        <v>40.674101999999998</v>
      </c>
      <c r="M248">
        <v>22.934695000000001</v>
      </c>
      <c r="N248" t="s">
        <v>6</v>
      </c>
      <c r="O248" t="s">
        <v>21</v>
      </c>
      <c r="P248">
        <v>20</v>
      </c>
      <c r="Q248">
        <v>3</v>
      </c>
    </row>
    <row r="249" spans="11:17" x14ac:dyDescent="0.3">
      <c r="K249" t="s">
        <v>28</v>
      </c>
      <c r="L249">
        <v>40.674405</v>
      </c>
      <c r="M249">
        <v>22.934934999999999</v>
      </c>
      <c r="N249" t="s">
        <v>6</v>
      </c>
      <c r="O249" t="s">
        <v>21</v>
      </c>
      <c r="P249">
        <v>20</v>
      </c>
      <c r="Q249">
        <v>3</v>
      </c>
    </row>
    <row r="250" spans="11:17" x14ac:dyDescent="0.3">
      <c r="K250" t="s">
        <v>28</v>
      </c>
      <c r="L250">
        <v>40.674590999999999</v>
      </c>
      <c r="M250">
        <v>22.935072999999999</v>
      </c>
      <c r="N250" t="s">
        <v>6</v>
      </c>
      <c r="O250" t="s">
        <v>21</v>
      </c>
      <c r="P250">
        <v>20</v>
      </c>
      <c r="Q250">
        <v>3</v>
      </c>
    </row>
    <row r="251" spans="11:17" x14ac:dyDescent="0.3">
      <c r="K251" t="s">
        <v>28</v>
      </c>
      <c r="L251">
        <v>40.674695</v>
      </c>
      <c r="M251">
        <v>22.935148000000002</v>
      </c>
      <c r="N251" t="s">
        <v>6</v>
      </c>
      <c r="O251" t="s">
        <v>21</v>
      </c>
      <c r="P251">
        <v>20</v>
      </c>
      <c r="Q251">
        <v>3</v>
      </c>
    </row>
    <row r="252" spans="11:17" x14ac:dyDescent="0.3">
      <c r="K252" t="s">
        <v>28</v>
      </c>
      <c r="L252">
        <v>40.674889999999998</v>
      </c>
      <c r="M252">
        <v>22.935286999999999</v>
      </c>
      <c r="N252" t="s">
        <v>6</v>
      </c>
      <c r="O252" t="s">
        <v>21</v>
      </c>
      <c r="P252">
        <v>20</v>
      </c>
      <c r="Q252">
        <v>3</v>
      </c>
    </row>
    <row r="253" spans="11:17" x14ac:dyDescent="0.3">
      <c r="K253" t="s">
        <v>28</v>
      </c>
      <c r="L253">
        <v>40.675072</v>
      </c>
      <c r="M253">
        <v>22.935411999999999</v>
      </c>
      <c r="N253" t="s">
        <v>6</v>
      </c>
      <c r="O253" t="s">
        <v>21</v>
      </c>
      <c r="P253">
        <v>20</v>
      </c>
      <c r="Q253">
        <v>3</v>
      </c>
    </row>
    <row r="254" spans="11:17" x14ac:dyDescent="0.3">
      <c r="K254" t="s">
        <v>28</v>
      </c>
      <c r="L254">
        <v>40.675190000000001</v>
      </c>
      <c r="M254">
        <v>22.935490000000001</v>
      </c>
      <c r="N254" t="s">
        <v>6</v>
      </c>
      <c r="O254" t="s">
        <v>21</v>
      </c>
      <c r="P254">
        <v>20</v>
      </c>
      <c r="Q254">
        <v>3</v>
      </c>
    </row>
    <row r="255" spans="11:17" x14ac:dyDescent="0.3">
      <c r="K255" t="s">
        <v>28</v>
      </c>
      <c r="L255">
        <v>40.675345999999998</v>
      </c>
      <c r="M255">
        <v>22.935587999999999</v>
      </c>
      <c r="N255" t="s">
        <v>6</v>
      </c>
      <c r="O255" t="s">
        <v>21</v>
      </c>
      <c r="P255">
        <v>20</v>
      </c>
      <c r="Q255">
        <v>3</v>
      </c>
    </row>
    <row r="256" spans="11:17" x14ac:dyDescent="0.3">
      <c r="K256" t="s">
        <v>28</v>
      </c>
      <c r="L256">
        <v>40.675794000000003</v>
      </c>
      <c r="M256">
        <v>22.935873999999998</v>
      </c>
      <c r="N256" t="s">
        <v>6</v>
      </c>
      <c r="O256" t="s">
        <v>21</v>
      </c>
      <c r="P256">
        <v>20</v>
      </c>
      <c r="Q256">
        <v>3</v>
      </c>
    </row>
    <row r="257" spans="11:17" x14ac:dyDescent="0.3">
      <c r="K257" t="s">
        <v>28</v>
      </c>
      <c r="L257">
        <v>40.675891</v>
      </c>
      <c r="M257">
        <v>22.935935000000001</v>
      </c>
      <c r="N257" t="s">
        <v>6</v>
      </c>
      <c r="O257" t="s">
        <v>21</v>
      </c>
      <c r="P257">
        <v>20</v>
      </c>
      <c r="Q257">
        <v>3</v>
      </c>
    </row>
    <row r="258" spans="11:17" x14ac:dyDescent="0.3">
      <c r="K258" t="s">
        <v>28</v>
      </c>
      <c r="L258">
        <v>40.676099999999998</v>
      </c>
      <c r="M258">
        <v>22.936057000000002</v>
      </c>
      <c r="N258" t="s">
        <v>6</v>
      </c>
      <c r="O258" t="s">
        <v>21</v>
      </c>
      <c r="P258">
        <v>20</v>
      </c>
      <c r="Q258">
        <v>3</v>
      </c>
    </row>
    <row r="259" spans="11:17" x14ac:dyDescent="0.3">
      <c r="K259" t="s">
        <v>28</v>
      </c>
      <c r="L259">
        <v>40.676211000000002</v>
      </c>
      <c r="M259">
        <v>22.936122999999998</v>
      </c>
      <c r="N259" t="s">
        <v>6</v>
      </c>
      <c r="O259" t="s">
        <v>21</v>
      </c>
      <c r="P259">
        <v>20</v>
      </c>
      <c r="Q259">
        <v>3</v>
      </c>
    </row>
    <row r="260" spans="11:17" x14ac:dyDescent="0.3">
      <c r="K260" t="s">
        <v>28</v>
      </c>
      <c r="L260">
        <v>40.676777000000001</v>
      </c>
      <c r="M260">
        <v>22.936440999999999</v>
      </c>
      <c r="N260" t="s">
        <v>6</v>
      </c>
      <c r="O260" t="s">
        <v>21</v>
      </c>
      <c r="P260">
        <v>20</v>
      </c>
      <c r="Q260">
        <v>3</v>
      </c>
    </row>
    <row r="261" spans="11:17" x14ac:dyDescent="0.3">
      <c r="K261" t="s">
        <v>28</v>
      </c>
      <c r="L261">
        <v>40.677017999999997</v>
      </c>
      <c r="M261">
        <v>22.936581</v>
      </c>
      <c r="N261" t="s">
        <v>6</v>
      </c>
      <c r="O261" t="s">
        <v>21</v>
      </c>
      <c r="P261">
        <v>20</v>
      </c>
      <c r="Q261">
        <v>3</v>
      </c>
    </row>
    <row r="262" spans="11:17" x14ac:dyDescent="0.3">
      <c r="K262" t="s">
        <v>28</v>
      </c>
      <c r="L262">
        <v>40.677249000000003</v>
      </c>
      <c r="M262">
        <v>22.936709</v>
      </c>
      <c r="N262" t="s">
        <v>6</v>
      </c>
      <c r="O262" t="s">
        <v>21</v>
      </c>
      <c r="P262">
        <v>20</v>
      </c>
      <c r="Q262">
        <v>3</v>
      </c>
    </row>
    <row r="263" spans="11:17" x14ac:dyDescent="0.3">
      <c r="K263" t="s">
        <v>28</v>
      </c>
      <c r="L263">
        <v>40.677213000000002</v>
      </c>
      <c r="M263">
        <v>22.936091000000001</v>
      </c>
      <c r="N263" t="s">
        <v>6</v>
      </c>
      <c r="O263" t="s">
        <v>21</v>
      </c>
      <c r="P263">
        <v>20</v>
      </c>
      <c r="Q263">
        <v>3</v>
      </c>
    </row>
    <row r="264" spans="11:17" x14ac:dyDescent="0.3">
      <c r="K264" t="s">
        <v>28</v>
      </c>
      <c r="L264">
        <v>40.677200999999997</v>
      </c>
      <c r="M264">
        <v>22.935386999999999</v>
      </c>
      <c r="N264" t="s">
        <v>6</v>
      </c>
      <c r="O264" t="s">
        <v>21</v>
      </c>
      <c r="P264">
        <v>20</v>
      </c>
      <c r="Q264">
        <v>3</v>
      </c>
    </row>
    <row r="265" spans="11:17" x14ac:dyDescent="0.3">
      <c r="K265" t="s">
        <v>28</v>
      </c>
      <c r="L265">
        <v>40.677225999999997</v>
      </c>
      <c r="M265">
        <v>22.934291999999999</v>
      </c>
      <c r="N265" t="s">
        <v>6</v>
      </c>
      <c r="O265" t="s">
        <v>21</v>
      </c>
      <c r="P265">
        <v>20</v>
      </c>
      <c r="Q265">
        <v>3</v>
      </c>
    </row>
    <row r="266" spans="11:17" x14ac:dyDescent="0.3">
      <c r="K266" t="s">
        <v>28</v>
      </c>
      <c r="L266">
        <v>40.677236999999998</v>
      </c>
      <c r="M266">
        <v>22.933364000000001</v>
      </c>
      <c r="N266" t="s">
        <v>6</v>
      </c>
      <c r="O266" t="s">
        <v>21</v>
      </c>
      <c r="P266">
        <v>20</v>
      </c>
      <c r="Q266">
        <v>3</v>
      </c>
    </row>
    <row r="267" spans="11:17" x14ac:dyDescent="0.3">
      <c r="K267" t="s">
        <v>28</v>
      </c>
      <c r="L267">
        <v>40.677194999999998</v>
      </c>
      <c r="M267">
        <v>22.932829999999999</v>
      </c>
      <c r="N267" t="s">
        <v>6</v>
      </c>
      <c r="O267" t="s">
        <v>21</v>
      </c>
      <c r="P267">
        <v>20</v>
      </c>
      <c r="Q267">
        <v>3</v>
      </c>
    </row>
    <row r="268" spans="11:17" x14ac:dyDescent="0.3">
      <c r="K268" t="s">
        <v>28</v>
      </c>
      <c r="L268">
        <v>40.677292000000001</v>
      </c>
      <c r="M268">
        <v>22.929174</v>
      </c>
      <c r="N268" t="s">
        <v>6</v>
      </c>
      <c r="O268" t="s">
        <v>21</v>
      </c>
      <c r="P268">
        <v>20</v>
      </c>
      <c r="Q268">
        <v>3</v>
      </c>
    </row>
    <row r="269" spans="11:17" x14ac:dyDescent="0.3">
      <c r="K269" t="s">
        <v>28</v>
      </c>
      <c r="L269">
        <v>40.677380999999997</v>
      </c>
      <c r="M269">
        <v>22.925563</v>
      </c>
      <c r="N269" t="s">
        <v>6</v>
      </c>
      <c r="O269" t="s">
        <v>21</v>
      </c>
      <c r="P269">
        <v>20</v>
      </c>
      <c r="Q269">
        <v>3</v>
      </c>
    </row>
    <row r="270" spans="11:17" x14ac:dyDescent="0.3">
      <c r="K270" t="s">
        <v>28</v>
      </c>
      <c r="L270">
        <v>40.677461999999998</v>
      </c>
      <c r="M270">
        <v>22.922812</v>
      </c>
      <c r="N270" t="s">
        <v>6</v>
      </c>
      <c r="O270" t="s">
        <v>21</v>
      </c>
      <c r="P270">
        <v>20</v>
      </c>
      <c r="Q270">
        <v>3</v>
      </c>
    </row>
    <row r="271" spans="11:17" x14ac:dyDescent="0.3">
      <c r="K271" t="s">
        <v>28</v>
      </c>
      <c r="L271">
        <v>40.677576999999999</v>
      </c>
      <c r="M271">
        <v>22.918761</v>
      </c>
      <c r="N271" t="s">
        <v>6</v>
      </c>
      <c r="O271" t="s">
        <v>21</v>
      </c>
      <c r="P271">
        <v>20</v>
      </c>
      <c r="Q271">
        <v>3</v>
      </c>
    </row>
    <row r="272" spans="11:17" x14ac:dyDescent="0.3">
      <c r="K272" t="s">
        <v>28</v>
      </c>
      <c r="L272">
        <v>40.677821999999999</v>
      </c>
      <c r="M272">
        <v>22.909945</v>
      </c>
      <c r="N272" t="s">
        <v>6</v>
      </c>
      <c r="O272" t="s">
        <v>21</v>
      </c>
      <c r="P272">
        <v>20</v>
      </c>
      <c r="Q272">
        <v>3</v>
      </c>
    </row>
    <row r="273" spans="11:17" x14ac:dyDescent="0.3">
      <c r="K273" t="s">
        <v>28</v>
      </c>
      <c r="L273">
        <v>40.677922000000002</v>
      </c>
      <c r="M273">
        <v>22.909322</v>
      </c>
      <c r="N273" t="s">
        <v>6</v>
      </c>
      <c r="O273" t="s">
        <v>21</v>
      </c>
      <c r="P273">
        <v>20</v>
      </c>
      <c r="Q273">
        <v>3</v>
      </c>
    </row>
    <row r="274" spans="11:17" x14ac:dyDescent="0.3">
      <c r="K274" t="s">
        <v>28</v>
      </c>
      <c r="L274">
        <v>40.677992000000003</v>
      </c>
      <c r="M274">
        <v>22.906677999999999</v>
      </c>
      <c r="N274" t="s">
        <v>6</v>
      </c>
      <c r="O274" t="s">
        <v>21</v>
      </c>
      <c r="P274">
        <v>20</v>
      </c>
      <c r="Q274">
        <v>3</v>
      </c>
    </row>
    <row r="275" spans="11:17" x14ac:dyDescent="0.3">
      <c r="K275" t="s">
        <v>28</v>
      </c>
      <c r="L275">
        <v>40.678168999999997</v>
      </c>
      <c r="M275">
        <v>22.906275000000001</v>
      </c>
      <c r="N275" t="s">
        <v>6</v>
      </c>
      <c r="O275" t="s">
        <v>21</v>
      </c>
      <c r="P275">
        <v>20</v>
      </c>
      <c r="Q275">
        <v>3</v>
      </c>
    </row>
    <row r="276" spans="11:17" x14ac:dyDescent="0.3">
      <c r="K276" t="s">
        <v>28</v>
      </c>
      <c r="L276">
        <v>40.678238</v>
      </c>
      <c r="M276">
        <v>22.906169999999999</v>
      </c>
      <c r="N276" t="s">
        <v>6</v>
      </c>
      <c r="O276" t="s">
        <v>21</v>
      </c>
      <c r="P276">
        <v>20</v>
      </c>
      <c r="Q276">
        <v>3</v>
      </c>
    </row>
    <row r="277" spans="11:17" x14ac:dyDescent="0.3">
      <c r="K277" t="s">
        <v>28</v>
      </c>
      <c r="L277">
        <v>40.678350999999999</v>
      </c>
      <c r="M277">
        <v>22.906063</v>
      </c>
      <c r="N277" t="s">
        <v>6</v>
      </c>
      <c r="O277" t="s">
        <v>21</v>
      </c>
      <c r="P277">
        <v>20</v>
      </c>
      <c r="Q277">
        <v>3</v>
      </c>
    </row>
    <row r="278" spans="11:17" x14ac:dyDescent="0.3">
      <c r="K278" t="s">
        <v>28</v>
      </c>
      <c r="L278">
        <v>40.678645000000003</v>
      </c>
      <c r="M278">
        <v>22.906053</v>
      </c>
      <c r="N278" t="s">
        <v>6</v>
      </c>
      <c r="O278" t="s">
        <v>21</v>
      </c>
      <c r="P278">
        <v>20</v>
      </c>
      <c r="Q278">
        <v>3</v>
      </c>
    </row>
    <row r="279" spans="11:17" x14ac:dyDescent="0.3">
      <c r="K279" t="s">
        <v>28</v>
      </c>
      <c r="L279">
        <v>40.67877</v>
      </c>
      <c r="M279">
        <v>22.906098</v>
      </c>
      <c r="N279" t="s">
        <v>6</v>
      </c>
      <c r="O279" t="s">
        <v>21</v>
      </c>
      <c r="P279">
        <v>20</v>
      </c>
      <c r="Q279">
        <v>3</v>
      </c>
    </row>
    <row r="280" spans="11:17" x14ac:dyDescent="0.3">
      <c r="K280" t="s">
        <v>28</v>
      </c>
      <c r="L280">
        <v>40.679079999999999</v>
      </c>
      <c r="M280">
        <v>22.906099000000001</v>
      </c>
      <c r="N280" t="s">
        <v>6</v>
      </c>
      <c r="O280" t="s">
        <v>21</v>
      </c>
      <c r="P280">
        <v>20</v>
      </c>
      <c r="Q280">
        <v>3</v>
      </c>
    </row>
    <row r="281" spans="11:17" x14ac:dyDescent="0.3">
      <c r="K281" t="s">
        <v>28</v>
      </c>
      <c r="L281">
        <v>40.679186000000001</v>
      </c>
      <c r="M281">
        <v>22.906098</v>
      </c>
      <c r="N281" t="s">
        <v>6</v>
      </c>
      <c r="O281" t="s">
        <v>21</v>
      </c>
      <c r="P281">
        <v>20</v>
      </c>
      <c r="Q281">
        <v>3</v>
      </c>
    </row>
    <row r="282" spans="11:17" x14ac:dyDescent="0.3">
      <c r="K282" t="s">
        <v>28</v>
      </c>
      <c r="L282">
        <v>40.679482</v>
      </c>
      <c r="M282">
        <v>22.906099000000001</v>
      </c>
      <c r="N282" t="s">
        <v>6</v>
      </c>
      <c r="O282" t="s">
        <v>21</v>
      </c>
      <c r="P282">
        <v>20</v>
      </c>
      <c r="Q282">
        <v>3</v>
      </c>
    </row>
    <row r="283" spans="11:17" x14ac:dyDescent="0.3">
      <c r="K283" t="s">
        <v>28</v>
      </c>
      <c r="L283">
        <v>40.679465</v>
      </c>
      <c r="M283">
        <v>22.903635000000001</v>
      </c>
      <c r="N283" t="s">
        <v>6</v>
      </c>
      <c r="O283" t="s">
        <v>21</v>
      </c>
      <c r="P283">
        <v>20</v>
      </c>
      <c r="Q283">
        <v>3</v>
      </c>
    </row>
    <row r="284" spans="11:17" x14ac:dyDescent="0.3">
      <c r="K284" t="s">
        <v>28</v>
      </c>
      <c r="L284">
        <v>40.679060999999997</v>
      </c>
      <c r="M284">
        <v>22.903632000000002</v>
      </c>
      <c r="N284" t="s">
        <v>6</v>
      </c>
      <c r="O284" t="s">
        <v>21</v>
      </c>
      <c r="P284">
        <v>20</v>
      </c>
      <c r="Q284">
        <v>3</v>
      </c>
    </row>
    <row r="285" spans="11:17" x14ac:dyDescent="0.3">
      <c r="K285" t="s">
        <v>28</v>
      </c>
      <c r="L285">
        <v>40.678905</v>
      </c>
      <c r="M285">
        <v>22.903628000000001</v>
      </c>
      <c r="N285" t="s">
        <v>6</v>
      </c>
      <c r="O285" t="s">
        <v>21</v>
      </c>
      <c r="P285">
        <v>20</v>
      </c>
      <c r="Q285">
        <v>3</v>
      </c>
    </row>
    <row r="286" spans="11:17" x14ac:dyDescent="0.3">
      <c r="K286" t="s">
        <v>28</v>
      </c>
      <c r="L286">
        <v>40.678162999999998</v>
      </c>
      <c r="M286">
        <v>22.903631000000001</v>
      </c>
      <c r="N286" t="s">
        <v>6</v>
      </c>
      <c r="O286" t="s">
        <v>21</v>
      </c>
      <c r="P286">
        <v>20</v>
      </c>
      <c r="Q286">
        <v>3</v>
      </c>
    </row>
    <row r="287" spans="11:17" x14ac:dyDescent="0.3">
      <c r="K287" t="s">
        <v>28</v>
      </c>
      <c r="L287">
        <v>40.678176999999998</v>
      </c>
      <c r="M287">
        <v>22.902138000000001</v>
      </c>
      <c r="N287" t="s">
        <v>6</v>
      </c>
      <c r="O287" t="s">
        <v>21</v>
      </c>
      <c r="P287">
        <v>20</v>
      </c>
      <c r="Q287">
        <v>3</v>
      </c>
    </row>
    <row r="288" spans="11:17" x14ac:dyDescent="0.3">
      <c r="K288" t="s">
        <v>28</v>
      </c>
      <c r="L288">
        <v>40.678165</v>
      </c>
      <c r="M288">
        <v>22.901561000000001</v>
      </c>
      <c r="N288" t="s">
        <v>6</v>
      </c>
      <c r="O288" t="s">
        <v>21</v>
      </c>
      <c r="P288">
        <v>20</v>
      </c>
      <c r="Q288">
        <v>3</v>
      </c>
    </row>
    <row r="289" spans="11:17" x14ac:dyDescent="0.3">
      <c r="K289" t="s">
        <v>28</v>
      </c>
      <c r="L289">
        <v>40.669091999999999</v>
      </c>
      <c r="M289">
        <v>22.935068000000001</v>
      </c>
      <c r="N289" t="s">
        <v>5</v>
      </c>
      <c r="O289" t="s">
        <v>22</v>
      </c>
      <c r="P289">
        <v>20</v>
      </c>
      <c r="Q289">
        <v>1</v>
      </c>
    </row>
    <row r="290" spans="11:17" x14ac:dyDescent="0.3">
      <c r="K290" t="s">
        <v>28</v>
      </c>
      <c r="L290">
        <v>40.669280000000001</v>
      </c>
      <c r="M290">
        <v>22.935155000000002</v>
      </c>
      <c r="N290" t="s">
        <v>5</v>
      </c>
      <c r="O290" t="s">
        <v>22</v>
      </c>
      <c r="P290">
        <v>20</v>
      </c>
      <c r="Q290">
        <v>1</v>
      </c>
    </row>
    <row r="291" spans="11:17" x14ac:dyDescent="0.3">
      <c r="K291" t="s">
        <v>28</v>
      </c>
      <c r="L291">
        <v>40.669241</v>
      </c>
      <c r="M291">
        <v>22.935576999999999</v>
      </c>
      <c r="N291" t="s">
        <v>5</v>
      </c>
      <c r="O291" t="s">
        <v>22</v>
      </c>
      <c r="P291">
        <v>20</v>
      </c>
      <c r="Q291">
        <v>1</v>
      </c>
    </row>
    <row r="292" spans="11:17" x14ac:dyDescent="0.3">
      <c r="K292" t="s">
        <v>28</v>
      </c>
      <c r="L292">
        <v>40.669223000000002</v>
      </c>
      <c r="M292">
        <v>22.935787000000001</v>
      </c>
      <c r="N292" t="s">
        <v>5</v>
      </c>
      <c r="O292" t="s">
        <v>22</v>
      </c>
      <c r="P292">
        <v>20</v>
      </c>
      <c r="Q292">
        <v>1</v>
      </c>
    </row>
    <row r="293" spans="11:17" x14ac:dyDescent="0.3">
      <c r="K293" t="s">
        <v>28</v>
      </c>
      <c r="L293">
        <v>40.669355000000003</v>
      </c>
      <c r="M293">
        <v>22.935818000000001</v>
      </c>
      <c r="N293" t="s">
        <v>5</v>
      </c>
      <c r="O293" t="s">
        <v>22</v>
      </c>
      <c r="P293">
        <v>20</v>
      </c>
      <c r="Q293">
        <v>1</v>
      </c>
    </row>
    <row r="294" spans="11:17" x14ac:dyDescent="0.3">
      <c r="K294" t="s">
        <v>28</v>
      </c>
      <c r="L294">
        <v>40.669384000000001</v>
      </c>
      <c r="M294">
        <v>22.935797999999998</v>
      </c>
      <c r="N294" t="s">
        <v>5</v>
      </c>
      <c r="O294" t="s">
        <v>22</v>
      </c>
      <c r="P294">
        <v>20</v>
      </c>
      <c r="Q294">
        <v>1</v>
      </c>
    </row>
    <row r="295" spans="11:17" x14ac:dyDescent="0.3">
      <c r="K295" t="s">
        <v>28</v>
      </c>
      <c r="L295">
        <v>40.669533999999999</v>
      </c>
      <c r="M295">
        <v>22.935711999999999</v>
      </c>
      <c r="N295" t="s">
        <v>5</v>
      </c>
      <c r="O295" t="s">
        <v>22</v>
      </c>
      <c r="P295">
        <v>20</v>
      </c>
      <c r="Q295">
        <v>1</v>
      </c>
    </row>
    <row r="296" spans="11:17" x14ac:dyDescent="0.3">
      <c r="K296" t="s">
        <v>28</v>
      </c>
      <c r="L296">
        <v>40.669638999999997</v>
      </c>
      <c r="M296">
        <v>22.934968999999999</v>
      </c>
      <c r="N296" t="s">
        <v>5</v>
      </c>
      <c r="O296" t="s">
        <v>22</v>
      </c>
      <c r="P296">
        <v>20</v>
      </c>
      <c r="Q296">
        <v>1</v>
      </c>
    </row>
    <row r="297" spans="11:17" x14ac:dyDescent="0.3">
      <c r="K297" t="s">
        <v>28</v>
      </c>
      <c r="L297">
        <v>40.669701000000003</v>
      </c>
      <c r="M297">
        <v>22.934566</v>
      </c>
      <c r="N297" t="s">
        <v>5</v>
      </c>
      <c r="O297" t="s">
        <v>22</v>
      </c>
      <c r="P297">
        <v>20</v>
      </c>
      <c r="Q297">
        <v>1</v>
      </c>
    </row>
    <row r="298" spans="11:17" x14ac:dyDescent="0.3">
      <c r="K298" t="s">
        <v>28</v>
      </c>
      <c r="L298">
        <v>40.669845000000002</v>
      </c>
      <c r="M298">
        <v>22.933883000000002</v>
      </c>
      <c r="N298" t="s">
        <v>5</v>
      </c>
      <c r="O298" t="s">
        <v>22</v>
      </c>
      <c r="P298">
        <v>20</v>
      </c>
      <c r="Q298">
        <v>1</v>
      </c>
    </row>
    <row r="299" spans="11:17" x14ac:dyDescent="0.3">
      <c r="K299" t="s">
        <v>28</v>
      </c>
      <c r="L299">
        <v>40.66995</v>
      </c>
      <c r="M299">
        <v>22.933240000000001</v>
      </c>
      <c r="N299" t="s">
        <v>5</v>
      </c>
      <c r="O299" t="s">
        <v>22</v>
      </c>
      <c r="P299">
        <v>20</v>
      </c>
      <c r="Q299">
        <v>1</v>
      </c>
    </row>
    <row r="300" spans="11:17" x14ac:dyDescent="0.3">
      <c r="K300" t="s">
        <v>28</v>
      </c>
      <c r="L300">
        <v>40.669587999999997</v>
      </c>
      <c r="M300">
        <v>22.933143000000001</v>
      </c>
      <c r="N300" t="s">
        <v>5</v>
      </c>
      <c r="O300" t="s">
        <v>22</v>
      </c>
      <c r="P300">
        <v>20</v>
      </c>
      <c r="Q300">
        <v>1</v>
      </c>
    </row>
    <row r="301" spans="11:17" x14ac:dyDescent="0.3">
      <c r="K301" t="s">
        <v>28</v>
      </c>
      <c r="L301">
        <v>40.669198000000002</v>
      </c>
      <c r="M301">
        <v>22.933038</v>
      </c>
      <c r="N301" t="s">
        <v>5</v>
      </c>
      <c r="O301" t="s">
        <v>22</v>
      </c>
      <c r="P301">
        <v>20</v>
      </c>
      <c r="Q301">
        <v>1</v>
      </c>
    </row>
    <row r="302" spans="11:17" x14ac:dyDescent="0.3">
      <c r="K302" t="s">
        <v>28</v>
      </c>
      <c r="L302">
        <v>40.669102000000002</v>
      </c>
      <c r="M302">
        <v>22.933011</v>
      </c>
      <c r="N302" t="s">
        <v>5</v>
      </c>
      <c r="O302" t="s">
        <v>22</v>
      </c>
      <c r="P302">
        <v>20</v>
      </c>
      <c r="Q302">
        <v>1</v>
      </c>
    </row>
    <row r="303" spans="11:17" x14ac:dyDescent="0.3">
      <c r="K303" t="s">
        <v>28</v>
      </c>
      <c r="L303">
        <v>40.668832000000002</v>
      </c>
      <c r="M303">
        <v>22.932935000000001</v>
      </c>
      <c r="N303" t="s">
        <v>5</v>
      </c>
      <c r="O303" t="s">
        <v>22</v>
      </c>
      <c r="P303">
        <v>20</v>
      </c>
      <c r="Q303">
        <v>1</v>
      </c>
    </row>
    <row r="304" spans="11:17" x14ac:dyDescent="0.3">
      <c r="K304" t="s">
        <v>28</v>
      </c>
      <c r="L304">
        <v>40.66874</v>
      </c>
      <c r="M304">
        <v>22.932907</v>
      </c>
      <c r="N304" t="s">
        <v>5</v>
      </c>
      <c r="O304" t="s">
        <v>22</v>
      </c>
      <c r="P304">
        <v>20</v>
      </c>
      <c r="Q304">
        <v>1</v>
      </c>
    </row>
    <row r="305" spans="11:17" x14ac:dyDescent="0.3">
      <c r="K305" t="s">
        <v>28</v>
      </c>
      <c r="L305">
        <v>40.668605999999997</v>
      </c>
      <c r="M305">
        <v>22.932866000000001</v>
      </c>
      <c r="N305" t="s">
        <v>5</v>
      </c>
      <c r="O305" t="s">
        <v>22</v>
      </c>
      <c r="P305">
        <v>20</v>
      </c>
      <c r="Q305">
        <v>1</v>
      </c>
    </row>
    <row r="306" spans="11:17" x14ac:dyDescent="0.3">
      <c r="K306" t="s">
        <v>28</v>
      </c>
      <c r="L306">
        <v>40.668559999999999</v>
      </c>
      <c r="M306">
        <v>22.932853000000001</v>
      </c>
      <c r="N306" t="s">
        <v>5</v>
      </c>
      <c r="O306" t="s">
        <v>22</v>
      </c>
      <c r="P306">
        <v>20</v>
      </c>
      <c r="Q306">
        <v>1</v>
      </c>
    </row>
    <row r="307" spans="11:17" x14ac:dyDescent="0.3">
      <c r="K307" t="s">
        <v>28</v>
      </c>
      <c r="L307">
        <v>40.668250999999998</v>
      </c>
      <c r="M307">
        <v>22.932759000000001</v>
      </c>
      <c r="N307" t="s">
        <v>5</v>
      </c>
      <c r="O307" t="s">
        <v>22</v>
      </c>
      <c r="P307">
        <v>20</v>
      </c>
      <c r="Q307">
        <v>1</v>
      </c>
    </row>
    <row r="308" spans="11:17" x14ac:dyDescent="0.3">
      <c r="K308" t="s">
        <v>28</v>
      </c>
      <c r="L308">
        <v>40.667923999999999</v>
      </c>
      <c r="M308">
        <v>22.932656999999999</v>
      </c>
      <c r="N308" t="s">
        <v>5</v>
      </c>
      <c r="O308" t="s">
        <v>22</v>
      </c>
      <c r="P308">
        <v>20</v>
      </c>
      <c r="Q308">
        <v>1</v>
      </c>
    </row>
    <row r="309" spans="11:17" x14ac:dyDescent="0.3">
      <c r="K309" t="s">
        <v>28</v>
      </c>
      <c r="L309">
        <v>40.667592999999997</v>
      </c>
      <c r="M309">
        <v>22.932558</v>
      </c>
      <c r="N309" t="s">
        <v>5</v>
      </c>
      <c r="O309" t="s">
        <v>22</v>
      </c>
      <c r="P309">
        <v>20</v>
      </c>
      <c r="Q309">
        <v>1</v>
      </c>
    </row>
    <row r="310" spans="11:17" x14ac:dyDescent="0.3">
      <c r="K310" t="s">
        <v>28</v>
      </c>
      <c r="L310">
        <v>40.667402000000003</v>
      </c>
      <c r="M310">
        <v>22.932504999999999</v>
      </c>
      <c r="N310" t="s">
        <v>5</v>
      </c>
      <c r="O310" t="s">
        <v>22</v>
      </c>
      <c r="P310">
        <v>20</v>
      </c>
      <c r="Q310">
        <v>1</v>
      </c>
    </row>
    <row r="311" spans="11:17" x14ac:dyDescent="0.3">
      <c r="K311" t="s">
        <v>28</v>
      </c>
      <c r="L311">
        <v>40.666891</v>
      </c>
      <c r="M311">
        <v>22.932364</v>
      </c>
      <c r="N311" t="s">
        <v>5</v>
      </c>
      <c r="O311" t="s">
        <v>22</v>
      </c>
      <c r="P311">
        <v>20</v>
      </c>
      <c r="Q311">
        <v>1</v>
      </c>
    </row>
    <row r="312" spans="11:17" x14ac:dyDescent="0.3">
      <c r="K312" t="s">
        <v>28</v>
      </c>
      <c r="L312">
        <v>40.666856000000003</v>
      </c>
      <c r="M312">
        <v>22.932354</v>
      </c>
      <c r="N312" t="s">
        <v>5</v>
      </c>
      <c r="O312" t="s">
        <v>22</v>
      </c>
      <c r="P312">
        <v>20</v>
      </c>
      <c r="Q312">
        <v>1</v>
      </c>
    </row>
    <row r="313" spans="11:17" x14ac:dyDescent="0.3">
      <c r="K313" t="s">
        <v>28</v>
      </c>
      <c r="L313">
        <v>40.666646999999998</v>
      </c>
      <c r="M313">
        <v>22.932286000000001</v>
      </c>
      <c r="N313" t="s">
        <v>5</v>
      </c>
      <c r="O313" t="s">
        <v>22</v>
      </c>
      <c r="P313">
        <v>20</v>
      </c>
      <c r="Q313">
        <v>1</v>
      </c>
    </row>
    <row r="314" spans="11:17" x14ac:dyDescent="0.3">
      <c r="K314" t="s">
        <v>28</v>
      </c>
      <c r="L314">
        <v>40.666587999999997</v>
      </c>
      <c r="M314">
        <v>22.932234000000001</v>
      </c>
      <c r="N314" t="s">
        <v>5</v>
      </c>
      <c r="O314" t="s">
        <v>22</v>
      </c>
      <c r="P314">
        <v>20</v>
      </c>
      <c r="Q314">
        <v>1</v>
      </c>
    </row>
    <row r="315" spans="11:17" x14ac:dyDescent="0.3">
      <c r="K315" t="s">
        <v>28</v>
      </c>
      <c r="L315">
        <v>40.666553999999998</v>
      </c>
      <c r="M315">
        <v>22.932168000000001</v>
      </c>
      <c r="N315" t="s">
        <v>5</v>
      </c>
      <c r="O315" t="s">
        <v>22</v>
      </c>
      <c r="P315">
        <v>20</v>
      </c>
      <c r="Q315">
        <v>1</v>
      </c>
    </row>
    <row r="316" spans="11:17" x14ac:dyDescent="0.3">
      <c r="K316" t="s">
        <v>28</v>
      </c>
      <c r="L316">
        <v>40.666477</v>
      </c>
      <c r="M316">
        <v>22.931794</v>
      </c>
      <c r="N316" t="s">
        <v>5</v>
      </c>
      <c r="O316" t="s">
        <v>22</v>
      </c>
      <c r="P316">
        <v>20</v>
      </c>
      <c r="Q316">
        <v>1</v>
      </c>
    </row>
    <row r="317" spans="11:17" x14ac:dyDescent="0.3">
      <c r="K317" t="s">
        <v>28</v>
      </c>
      <c r="L317">
        <v>40.666370000000001</v>
      </c>
      <c r="M317">
        <v>22.9312</v>
      </c>
      <c r="N317" t="s">
        <v>5</v>
      </c>
      <c r="O317" t="s">
        <v>22</v>
      </c>
      <c r="P317">
        <v>20</v>
      </c>
      <c r="Q317">
        <v>1</v>
      </c>
    </row>
    <row r="318" spans="11:17" x14ac:dyDescent="0.3">
      <c r="K318" t="s">
        <v>28</v>
      </c>
      <c r="L318">
        <v>40.666251000000003</v>
      </c>
      <c r="M318">
        <v>22.930562999999999</v>
      </c>
      <c r="N318" t="s">
        <v>5</v>
      </c>
      <c r="O318" t="s">
        <v>22</v>
      </c>
      <c r="P318">
        <v>20</v>
      </c>
      <c r="Q318">
        <v>1</v>
      </c>
    </row>
    <row r="319" spans="11:17" x14ac:dyDescent="0.3">
      <c r="K319" t="s">
        <v>28</v>
      </c>
      <c r="L319">
        <v>40.666245000000004</v>
      </c>
      <c r="M319">
        <v>22.930509000000001</v>
      </c>
      <c r="N319" t="s">
        <v>5</v>
      </c>
      <c r="O319" t="s">
        <v>22</v>
      </c>
      <c r="P319">
        <v>20</v>
      </c>
      <c r="Q319">
        <v>1</v>
      </c>
    </row>
    <row r="320" spans="11:17" x14ac:dyDescent="0.3">
      <c r="K320" t="s">
        <v>28</v>
      </c>
      <c r="L320">
        <v>40.666240999999999</v>
      </c>
      <c r="M320">
        <v>22.930444000000001</v>
      </c>
      <c r="N320" t="s">
        <v>5</v>
      </c>
      <c r="O320" t="s">
        <v>22</v>
      </c>
      <c r="P320">
        <v>20</v>
      </c>
      <c r="Q320">
        <v>1</v>
      </c>
    </row>
    <row r="321" spans="11:17" x14ac:dyDescent="0.3">
      <c r="K321" t="s">
        <v>28</v>
      </c>
      <c r="L321">
        <v>40.666215999999999</v>
      </c>
      <c r="M321">
        <v>22.929981000000002</v>
      </c>
      <c r="N321" t="s">
        <v>5</v>
      </c>
      <c r="O321" t="s">
        <v>22</v>
      </c>
      <c r="P321">
        <v>20</v>
      </c>
      <c r="Q321">
        <v>1</v>
      </c>
    </row>
    <row r="322" spans="11:17" x14ac:dyDescent="0.3">
      <c r="K322" t="s">
        <v>28</v>
      </c>
      <c r="L322">
        <v>40.66621</v>
      </c>
      <c r="M322">
        <v>22.929717</v>
      </c>
      <c r="N322" t="s">
        <v>5</v>
      </c>
      <c r="O322" t="s">
        <v>22</v>
      </c>
      <c r="P322">
        <v>20</v>
      </c>
      <c r="Q322">
        <v>1</v>
      </c>
    </row>
    <row r="323" spans="11:17" x14ac:dyDescent="0.3">
      <c r="K323" t="s">
        <v>28</v>
      </c>
      <c r="L323">
        <v>40.66621</v>
      </c>
      <c r="M323">
        <v>22.929556999999999</v>
      </c>
      <c r="N323" t="s">
        <v>5</v>
      </c>
      <c r="O323" t="s">
        <v>22</v>
      </c>
      <c r="P323">
        <v>20</v>
      </c>
      <c r="Q323">
        <v>1</v>
      </c>
    </row>
    <row r="324" spans="11:17" x14ac:dyDescent="0.3">
      <c r="K324" t="s">
        <v>28</v>
      </c>
      <c r="L324">
        <v>40.66621</v>
      </c>
      <c r="M324">
        <v>22.929504999999999</v>
      </c>
      <c r="N324" t="s">
        <v>5</v>
      </c>
      <c r="O324" t="s">
        <v>22</v>
      </c>
      <c r="P324">
        <v>20</v>
      </c>
      <c r="Q324">
        <v>1</v>
      </c>
    </row>
    <row r="325" spans="11:17" x14ac:dyDescent="0.3">
      <c r="K325" t="s">
        <v>28</v>
      </c>
      <c r="L325">
        <v>40.666215000000001</v>
      </c>
      <c r="M325">
        <v>22.929036</v>
      </c>
      <c r="N325" t="s">
        <v>5</v>
      </c>
      <c r="O325" t="s">
        <v>22</v>
      </c>
      <c r="P325">
        <v>20</v>
      </c>
      <c r="Q325">
        <v>1</v>
      </c>
    </row>
    <row r="326" spans="11:17" x14ac:dyDescent="0.3">
      <c r="K326" t="s">
        <v>28</v>
      </c>
      <c r="L326">
        <v>40.666213999999997</v>
      </c>
      <c r="M326">
        <v>22.928550999999999</v>
      </c>
      <c r="N326" t="s">
        <v>5</v>
      </c>
      <c r="O326" t="s">
        <v>22</v>
      </c>
      <c r="P326">
        <v>20</v>
      </c>
      <c r="Q326">
        <v>1</v>
      </c>
    </row>
    <row r="327" spans="11:17" x14ac:dyDescent="0.3">
      <c r="K327" t="s">
        <v>28</v>
      </c>
      <c r="L327">
        <v>40.666226000000002</v>
      </c>
      <c r="M327">
        <v>22.928076999999998</v>
      </c>
      <c r="N327" t="s">
        <v>5</v>
      </c>
      <c r="O327" t="s">
        <v>22</v>
      </c>
      <c r="P327">
        <v>20</v>
      </c>
      <c r="Q327">
        <v>1</v>
      </c>
    </row>
    <row r="328" spans="11:17" x14ac:dyDescent="0.3">
      <c r="K328" t="s">
        <v>28</v>
      </c>
      <c r="L328">
        <v>40.666235999999998</v>
      </c>
      <c r="M328">
        <v>22.927606000000001</v>
      </c>
      <c r="N328" t="s">
        <v>5</v>
      </c>
      <c r="O328" t="s">
        <v>22</v>
      </c>
      <c r="P328">
        <v>20</v>
      </c>
      <c r="Q328">
        <v>1</v>
      </c>
    </row>
    <row r="329" spans="11:17" x14ac:dyDescent="0.3">
      <c r="K329" t="s">
        <v>28</v>
      </c>
      <c r="L329">
        <v>40.666240000000002</v>
      </c>
      <c r="M329">
        <v>22.927568999999998</v>
      </c>
      <c r="N329" t="s">
        <v>5</v>
      </c>
      <c r="O329" t="s">
        <v>22</v>
      </c>
      <c r="P329">
        <v>20</v>
      </c>
      <c r="Q329">
        <v>1</v>
      </c>
    </row>
    <row r="330" spans="11:17" x14ac:dyDescent="0.3">
      <c r="K330" t="s">
        <v>28</v>
      </c>
      <c r="L330">
        <v>40.666272999999997</v>
      </c>
      <c r="M330">
        <v>22.927303999999999</v>
      </c>
      <c r="N330" t="s">
        <v>5</v>
      </c>
      <c r="O330" t="s">
        <v>22</v>
      </c>
      <c r="P330">
        <v>20</v>
      </c>
      <c r="Q330">
        <v>1</v>
      </c>
    </row>
    <row r="331" spans="11:17" x14ac:dyDescent="0.3">
      <c r="K331" t="s">
        <v>28</v>
      </c>
      <c r="L331">
        <v>40.666286999999997</v>
      </c>
      <c r="M331">
        <v>22.927129000000001</v>
      </c>
      <c r="N331" t="s">
        <v>5</v>
      </c>
      <c r="O331" t="s">
        <v>22</v>
      </c>
      <c r="P331">
        <v>20</v>
      </c>
      <c r="Q331">
        <v>1</v>
      </c>
    </row>
    <row r="332" spans="11:17" x14ac:dyDescent="0.3">
      <c r="K332" t="s">
        <v>28</v>
      </c>
      <c r="L332">
        <v>40.666308999999998</v>
      </c>
      <c r="M332">
        <v>22.926690000000001</v>
      </c>
      <c r="N332" t="s">
        <v>5</v>
      </c>
      <c r="O332" t="s">
        <v>22</v>
      </c>
      <c r="P332">
        <v>20</v>
      </c>
      <c r="Q332">
        <v>1</v>
      </c>
    </row>
    <row r="333" spans="11:17" x14ac:dyDescent="0.3">
      <c r="K333" t="s">
        <v>28</v>
      </c>
      <c r="L333">
        <v>40.666328999999998</v>
      </c>
      <c r="M333">
        <v>22.926286999999999</v>
      </c>
      <c r="N333" t="s">
        <v>5</v>
      </c>
      <c r="O333" t="s">
        <v>22</v>
      </c>
      <c r="P333">
        <v>20</v>
      </c>
      <c r="Q333">
        <v>1</v>
      </c>
    </row>
    <row r="334" spans="11:17" x14ac:dyDescent="0.3">
      <c r="K334" t="s">
        <v>28</v>
      </c>
      <c r="L334">
        <v>40.666333000000002</v>
      </c>
      <c r="M334">
        <v>22.926219</v>
      </c>
      <c r="N334" t="s">
        <v>5</v>
      </c>
      <c r="O334" t="s">
        <v>22</v>
      </c>
      <c r="P334">
        <v>20</v>
      </c>
      <c r="Q334">
        <v>1</v>
      </c>
    </row>
    <row r="335" spans="11:17" x14ac:dyDescent="0.3">
      <c r="K335" t="s">
        <v>28</v>
      </c>
      <c r="L335">
        <v>40.666345999999997</v>
      </c>
      <c r="M335">
        <v>22.925947000000001</v>
      </c>
      <c r="N335" t="s">
        <v>5</v>
      </c>
      <c r="O335" t="s">
        <v>22</v>
      </c>
      <c r="P335">
        <v>20</v>
      </c>
      <c r="Q335">
        <v>1</v>
      </c>
    </row>
    <row r="336" spans="11:17" x14ac:dyDescent="0.3">
      <c r="K336" t="s">
        <v>28</v>
      </c>
      <c r="L336">
        <v>40.666401</v>
      </c>
      <c r="M336">
        <v>22.924842999999999</v>
      </c>
      <c r="N336" t="s">
        <v>5</v>
      </c>
      <c r="O336" t="s">
        <v>22</v>
      </c>
      <c r="P336">
        <v>20</v>
      </c>
      <c r="Q336">
        <v>1</v>
      </c>
    </row>
    <row r="337" spans="11:17" x14ac:dyDescent="0.3">
      <c r="K337" t="s">
        <v>28</v>
      </c>
      <c r="L337">
        <v>40.666404999999997</v>
      </c>
      <c r="M337">
        <v>22.924779000000001</v>
      </c>
      <c r="N337" t="s">
        <v>5</v>
      </c>
      <c r="O337" t="s">
        <v>22</v>
      </c>
      <c r="P337">
        <v>20</v>
      </c>
      <c r="Q337">
        <v>1</v>
      </c>
    </row>
    <row r="338" spans="11:17" x14ac:dyDescent="0.3">
      <c r="K338" t="s">
        <v>28</v>
      </c>
      <c r="L338">
        <v>40.666415999999998</v>
      </c>
      <c r="M338">
        <v>22.924547</v>
      </c>
      <c r="N338" t="s">
        <v>5</v>
      </c>
      <c r="O338" t="s">
        <v>22</v>
      </c>
      <c r="P338">
        <v>20</v>
      </c>
      <c r="Q338">
        <v>1</v>
      </c>
    </row>
    <row r="339" spans="11:17" x14ac:dyDescent="0.3">
      <c r="K339" t="s">
        <v>28</v>
      </c>
      <c r="L339">
        <v>40.666435</v>
      </c>
      <c r="M339">
        <v>22.924174000000001</v>
      </c>
      <c r="N339" t="s">
        <v>5</v>
      </c>
      <c r="O339" t="s">
        <v>22</v>
      </c>
      <c r="P339">
        <v>20</v>
      </c>
      <c r="Q339">
        <v>1</v>
      </c>
    </row>
    <row r="340" spans="11:17" x14ac:dyDescent="0.3">
      <c r="K340" t="s">
        <v>28</v>
      </c>
      <c r="L340">
        <v>40.666443999999998</v>
      </c>
      <c r="M340">
        <v>22.923997</v>
      </c>
      <c r="N340" t="s">
        <v>5</v>
      </c>
      <c r="O340" t="s">
        <v>22</v>
      </c>
      <c r="P340">
        <v>20</v>
      </c>
      <c r="Q340">
        <v>1</v>
      </c>
    </row>
    <row r="341" spans="11:17" x14ac:dyDescent="0.3">
      <c r="K341" t="s">
        <v>28</v>
      </c>
      <c r="L341">
        <v>40.666468000000002</v>
      </c>
      <c r="M341">
        <v>22.923504999999999</v>
      </c>
      <c r="N341" t="s">
        <v>5</v>
      </c>
      <c r="O341" t="s">
        <v>22</v>
      </c>
      <c r="P341">
        <v>20</v>
      </c>
      <c r="Q341">
        <v>1</v>
      </c>
    </row>
    <row r="342" spans="11:17" x14ac:dyDescent="0.3">
      <c r="K342" t="s">
        <v>28</v>
      </c>
      <c r="L342">
        <v>40.666486999999996</v>
      </c>
      <c r="M342">
        <v>22.923120999999998</v>
      </c>
      <c r="N342" t="s">
        <v>5</v>
      </c>
      <c r="O342" t="s">
        <v>22</v>
      </c>
      <c r="P342">
        <v>20</v>
      </c>
      <c r="Q342">
        <v>1</v>
      </c>
    </row>
    <row r="343" spans="11:17" x14ac:dyDescent="0.3">
      <c r="K343" t="s">
        <v>28</v>
      </c>
      <c r="L343">
        <v>40.666493000000003</v>
      </c>
      <c r="M343">
        <v>22.923006999999998</v>
      </c>
      <c r="N343" t="s">
        <v>5</v>
      </c>
      <c r="O343" t="s">
        <v>22</v>
      </c>
      <c r="P343">
        <v>20</v>
      </c>
      <c r="Q343">
        <v>1</v>
      </c>
    </row>
    <row r="344" spans="11:17" x14ac:dyDescent="0.3">
      <c r="K344" t="s">
        <v>28</v>
      </c>
      <c r="L344">
        <v>40.666500999999997</v>
      </c>
      <c r="M344">
        <v>22.922840000000001</v>
      </c>
      <c r="N344" t="s">
        <v>5</v>
      </c>
      <c r="O344" t="s">
        <v>22</v>
      </c>
      <c r="P344">
        <v>20</v>
      </c>
      <c r="Q344">
        <v>1</v>
      </c>
    </row>
    <row r="345" spans="11:17" x14ac:dyDescent="0.3">
      <c r="K345" t="s">
        <v>28</v>
      </c>
      <c r="L345">
        <v>40.666527000000002</v>
      </c>
      <c r="M345">
        <v>22.922319999999999</v>
      </c>
      <c r="N345" t="s">
        <v>5</v>
      </c>
      <c r="O345" t="s">
        <v>22</v>
      </c>
      <c r="P345">
        <v>20</v>
      </c>
      <c r="Q345">
        <v>1</v>
      </c>
    </row>
    <row r="346" spans="11:17" x14ac:dyDescent="0.3">
      <c r="K346" t="s">
        <v>28</v>
      </c>
      <c r="L346">
        <v>40.666536999999998</v>
      </c>
      <c r="M346">
        <v>22.922114000000001</v>
      </c>
      <c r="N346" t="s">
        <v>5</v>
      </c>
      <c r="O346" t="s">
        <v>22</v>
      </c>
      <c r="P346">
        <v>20</v>
      </c>
      <c r="Q346">
        <v>1</v>
      </c>
    </row>
    <row r="347" spans="11:17" x14ac:dyDescent="0.3">
      <c r="K347" t="s">
        <v>28</v>
      </c>
      <c r="L347">
        <v>40.666553999999998</v>
      </c>
      <c r="M347">
        <v>22.921778</v>
      </c>
      <c r="N347" t="s">
        <v>5</v>
      </c>
      <c r="O347" t="s">
        <v>22</v>
      </c>
      <c r="P347">
        <v>20</v>
      </c>
      <c r="Q347">
        <v>1</v>
      </c>
    </row>
    <row r="348" spans="11:17" x14ac:dyDescent="0.3">
      <c r="K348" t="s">
        <v>28</v>
      </c>
      <c r="L348">
        <v>40.666561000000002</v>
      </c>
      <c r="M348">
        <v>22.92165</v>
      </c>
      <c r="N348" t="s">
        <v>5</v>
      </c>
      <c r="O348" t="s">
        <v>22</v>
      </c>
      <c r="P348">
        <v>20</v>
      </c>
      <c r="Q348">
        <v>1</v>
      </c>
    </row>
    <row r="349" spans="11:17" x14ac:dyDescent="0.3">
      <c r="K349" t="s">
        <v>28</v>
      </c>
      <c r="L349">
        <v>40.666569000000003</v>
      </c>
      <c r="M349">
        <v>22.921488</v>
      </c>
      <c r="N349" t="s">
        <v>5</v>
      </c>
      <c r="O349" t="s">
        <v>22</v>
      </c>
      <c r="P349">
        <v>20</v>
      </c>
      <c r="Q349">
        <v>1</v>
      </c>
    </row>
    <row r="350" spans="11:17" x14ac:dyDescent="0.3">
      <c r="K350" t="s">
        <v>28</v>
      </c>
      <c r="L350">
        <v>40.666578000000001</v>
      </c>
      <c r="M350">
        <v>22.921299000000001</v>
      </c>
      <c r="N350" t="s">
        <v>5</v>
      </c>
      <c r="O350" t="s">
        <v>22</v>
      </c>
      <c r="P350">
        <v>20</v>
      </c>
      <c r="Q350">
        <v>1</v>
      </c>
    </row>
    <row r="351" spans="11:17" x14ac:dyDescent="0.3">
      <c r="K351" t="s">
        <v>28</v>
      </c>
      <c r="L351">
        <v>40.666595000000001</v>
      </c>
      <c r="M351">
        <v>22.920967000000001</v>
      </c>
      <c r="N351" t="s">
        <v>5</v>
      </c>
      <c r="O351" t="s">
        <v>22</v>
      </c>
      <c r="P351">
        <v>20</v>
      </c>
      <c r="Q351">
        <v>1</v>
      </c>
    </row>
    <row r="352" spans="11:17" x14ac:dyDescent="0.3">
      <c r="K352" t="s">
        <v>28</v>
      </c>
      <c r="L352">
        <v>40.666623999999999</v>
      </c>
      <c r="M352">
        <v>22.920387999999999</v>
      </c>
      <c r="N352" t="s">
        <v>5</v>
      </c>
      <c r="O352" t="s">
        <v>22</v>
      </c>
      <c r="P352">
        <v>20</v>
      </c>
      <c r="Q352">
        <v>1</v>
      </c>
    </row>
    <row r="353" spans="11:17" x14ac:dyDescent="0.3">
      <c r="K353" t="s">
        <v>28</v>
      </c>
      <c r="L353">
        <v>40.666651999999999</v>
      </c>
      <c r="M353">
        <v>22.919806999999999</v>
      </c>
      <c r="N353" t="s">
        <v>5</v>
      </c>
      <c r="O353" t="s">
        <v>22</v>
      </c>
      <c r="P353">
        <v>20</v>
      </c>
      <c r="Q353">
        <v>1</v>
      </c>
    </row>
    <row r="354" spans="11:17" x14ac:dyDescent="0.3">
      <c r="K354" t="s">
        <v>28</v>
      </c>
      <c r="L354">
        <v>40.666699999999999</v>
      </c>
      <c r="M354">
        <v>22.918849999999999</v>
      </c>
      <c r="N354" t="s">
        <v>5</v>
      </c>
      <c r="O354" t="s">
        <v>22</v>
      </c>
      <c r="P354">
        <v>20</v>
      </c>
      <c r="Q354">
        <v>1</v>
      </c>
    </row>
    <row r="355" spans="11:17" x14ac:dyDescent="0.3">
      <c r="K355" t="s">
        <v>28</v>
      </c>
      <c r="L355">
        <v>40.666707000000002</v>
      </c>
      <c r="M355">
        <v>22.918710000000001</v>
      </c>
      <c r="N355" t="s">
        <v>5</v>
      </c>
      <c r="O355" t="s">
        <v>22</v>
      </c>
      <c r="P355">
        <v>20</v>
      </c>
      <c r="Q355">
        <v>1</v>
      </c>
    </row>
    <row r="356" spans="11:17" x14ac:dyDescent="0.3">
      <c r="K356" t="s">
        <v>28</v>
      </c>
      <c r="L356">
        <v>40.666742999999997</v>
      </c>
      <c r="M356">
        <v>22.917981999999999</v>
      </c>
      <c r="N356" t="s">
        <v>5</v>
      </c>
      <c r="O356" t="s">
        <v>22</v>
      </c>
      <c r="P356">
        <v>20</v>
      </c>
      <c r="Q356">
        <v>1</v>
      </c>
    </row>
    <row r="357" spans="11:17" x14ac:dyDescent="0.3">
      <c r="K357" t="s">
        <v>28</v>
      </c>
      <c r="L357">
        <v>40.666767</v>
      </c>
      <c r="M357">
        <v>22.917503</v>
      </c>
      <c r="N357" t="s">
        <v>5</v>
      </c>
      <c r="O357" t="s">
        <v>22</v>
      </c>
      <c r="P357">
        <v>20</v>
      </c>
      <c r="Q357">
        <v>1</v>
      </c>
    </row>
    <row r="358" spans="11:17" x14ac:dyDescent="0.3">
      <c r="K358" t="s">
        <v>28</v>
      </c>
      <c r="L358">
        <v>40.666789000000001</v>
      </c>
      <c r="M358">
        <v>22.917068</v>
      </c>
      <c r="N358" t="s">
        <v>5</v>
      </c>
      <c r="O358" t="s">
        <v>22</v>
      </c>
      <c r="P358">
        <v>20</v>
      </c>
      <c r="Q358">
        <v>1</v>
      </c>
    </row>
    <row r="359" spans="11:17" x14ac:dyDescent="0.3">
      <c r="K359" t="s">
        <v>28</v>
      </c>
      <c r="L359">
        <v>40.666822000000003</v>
      </c>
      <c r="M359">
        <v>22.916404</v>
      </c>
      <c r="N359" t="s">
        <v>5</v>
      </c>
      <c r="O359" t="s">
        <v>22</v>
      </c>
      <c r="P359">
        <v>20</v>
      </c>
      <c r="Q359">
        <v>1</v>
      </c>
    </row>
    <row r="360" spans="11:17" x14ac:dyDescent="0.3">
      <c r="K360" t="s">
        <v>28</v>
      </c>
      <c r="L360">
        <v>40.666823999999998</v>
      </c>
      <c r="M360">
        <v>22.916360999999998</v>
      </c>
      <c r="N360" t="s">
        <v>5</v>
      </c>
      <c r="O360" t="s">
        <v>22</v>
      </c>
      <c r="P360">
        <v>20</v>
      </c>
      <c r="Q360">
        <v>1</v>
      </c>
    </row>
    <row r="361" spans="11:17" x14ac:dyDescent="0.3">
      <c r="K361" t="s">
        <v>28</v>
      </c>
      <c r="L361">
        <v>40.666842000000003</v>
      </c>
      <c r="M361">
        <v>22.916004000000001</v>
      </c>
      <c r="N361" t="s">
        <v>5</v>
      </c>
      <c r="O361" t="s">
        <v>22</v>
      </c>
      <c r="P361">
        <v>20</v>
      </c>
      <c r="Q361">
        <v>1</v>
      </c>
    </row>
    <row r="362" spans="11:17" x14ac:dyDescent="0.3">
      <c r="K362" t="s">
        <v>28</v>
      </c>
      <c r="L362">
        <v>40.666862999999999</v>
      </c>
      <c r="M362">
        <v>22.915590000000002</v>
      </c>
      <c r="N362" t="s">
        <v>5</v>
      </c>
      <c r="O362" t="s">
        <v>22</v>
      </c>
      <c r="P362">
        <v>20</v>
      </c>
      <c r="Q362">
        <v>1</v>
      </c>
    </row>
    <row r="363" spans="11:17" x14ac:dyDescent="0.3">
      <c r="K363" t="s">
        <v>28</v>
      </c>
      <c r="L363">
        <v>40.666880999999997</v>
      </c>
      <c r="M363">
        <v>22.915229</v>
      </c>
      <c r="N363" t="s">
        <v>5</v>
      </c>
      <c r="O363" t="s">
        <v>22</v>
      </c>
      <c r="P363">
        <v>20</v>
      </c>
      <c r="Q363">
        <v>1</v>
      </c>
    </row>
    <row r="364" spans="11:17" x14ac:dyDescent="0.3">
      <c r="K364" t="s">
        <v>28</v>
      </c>
      <c r="L364">
        <v>40.666885999999998</v>
      </c>
      <c r="M364">
        <v>22.915130000000001</v>
      </c>
      <c r="N364" t="s">
        <v>5</v>
      </c>
      <c r="O364" t="s">
        <v>22</v>
      </c>
      <c r="P364">
        <v>20</v>
      </c>
      <c r="Q364">
        <v>1</v>
      </c>
    </row>
    <row r="365" spans="11:17" x14ac:dyDescent="0.3">
      <c r="K365" t="s">
        <v>28</v>
      </c>
      <c r="L365">
        <v>40.666924000000002</v>
      </c>
      <c r="M365">
        <v>22.915123000000001</v>
      </c>
      <c r="N365" t="s">
        <v>5</v>
      </c>
      <c r="O365" t="s">
        <v>22</v>
      </c>
      <c r="P365">
        <v>20</v>
      </c>
      <c r="Q365">
        <v>1</v>
      </c>
    </row>
    <row r="366" spans="11:17" x14ac:dyDescent="0.3">
      <c r="K366" t="s">
        <v>28</v>
      </c>
      <c r="L366">
        <v>40.666964</v>
      </c>
      <c r="M366">
        <v>22.91507</v>
      </c>
      <c r="N366" t="s">
        <v>5</v>
      </c>
      <c r="O366" t="s">
        <v>22</v>
      </c>
      <c r="P366">
        <v>20</v>
      </c>
      <c r="Q366">
        <v>1</v>
      </c>
    </row>
    <row r="367" spans="11:17" x14ac:dyDescent="0.3">
      <c r="K367" t="s">
        <v>28</v>
      </c>
      <c r="L367">
        <v>40.667164999999997</v>
      </c>
      <c r="M367">
        <v>22.914688000000002</v>
      </c>
      <c r="N367" t="s">
        <v>5</v>
      </c>
      <c r="O367" t="s">
        <v>22</v>
      </c>
      <c r="P367">
        <v>20</v>
      </c>
      <c r="Q367">
        <v>1</v>
      </c>
    </row>
    <row r="368" spans="11:17" x14ac:dyDescent="0.3">
      <c r="K368" t="s">
        <v>28</v>
      </c>
      <c r="L368">
        <v>40.667256000000002</v>
      </c>
      <c r="M368">
        <v>22.914515000000002</v>
      </c>
      <c r="N368" t="s">
        <v>5</v>
      </c>
      <c r="O368" t="s">
        <v>22</v>
      </c>
      <c r="P368">
        <v>20</v>
      </c>
      <c r="Q368">
        <v>1</v>
      </c>
    </row>
    <row r="369" spans="11:17" x14ac:dyDescent="0.3">
      <c r="K369" t="s">
        <v>28</v>
      </c>
      <c r="L369">
        <v>40.667361999999997</v>
      </c>
      <c r="M369">
        <v>22.914314000000001</v>
      </c>
      <c r="N369" t="s">
        <v>5</v>
      </c>
      <c r="O369" t="s">
        <v>22</v>
      </c>
      <c r="P369">
        <v>20</v>
      </c>
      <c r="Q369">
        <v>1</v>
      </c>
    </row>
    <row r="370" spans="11:17" x14ac:dyDescent="0.3">
      <c r="K370" t="s">
        <v>28</v>
      </c>
      <c r="L370">
        <v>40.667524</v>
      </c>
      <c r="M370">
        <v>22.913990999999999</v>
      </c>
      <c r="N370" t="s">
        <v>5</v>
      </c>
      <c r="O370" t="s">
        <v>22</v>
      </c>
      <c r="P370">
        <v>20</v>
      </c>
      <c r="Q370">
        <v>1</v>
      </c>
    </row>
    <row r="371" spans="11:17" x14ac:dyDescent="0.3">
      <c r="K371" t="s">
        <v>28</v>
      </c>
      <c r="L371">
        <v>40.667687000000001</v>
      </c>
      <c r="M371">
        <v>22.91366</v>
      </c>
      <c r="N371" t="s">
        <v>5</v>
      </c>
      <c r="O371" t="s">
        <v>22</v>
      </c>
      <c r="P371">
        <v>20</v>
      </c>
      <c r="Q371">
        <v>1</v>
      </c>
    </row>
    <row r="372" spans="11:17" x14ac:dyDescent="0.3">
      <c r="K372" t="s">
        <v>28</v>
      </c>
      <c r="L372">
        <v>40.667859999999997</v>
      </c>
      <c r="M372">
        <v>22.913297</v>
      </c>
      <c r="N372" t="s">
        <v>5</v>
      </c>
      <c r="O372" t="s">
        <v>22</v>
      </c>
      <c r="P372">
        <v>20</v>
      </c>
      <c r="Q372">
        <v>1</v>
      </c>
    </row>
    <row r="373" spans="11:17" x14ac:dyDescent="0.3">
      <c r="K373" t="s">
        <v>28</v>
      </c>
      <c r="L373">
        <v>40.668022000000001</v>
      </c>
      <c r="M373">
        <v>22.912962</v>
      </c>
      <c r="N373" t="s">
        <v>5</v>
      </c>
      <c r="O373" t="s">
        <v>22</v>
      </c>
      <c r="P373">
        <v>20</v>
      </c>
      <c r="Q373">
        <v>1</v>
      </c>
    </row>
    <row r="374" spans="11:17" x14ac:dyDescent="0.3">
      <c r="K374" t="s">
        <v>28</v>
      </c>
      <c r="L374">
        <v>40.668165000000002</v>
      </c>
      <c r="M374">
        <v>22.912679000000001</v>
      </c>
      <c r="N374" t="s">
        <v>5</v>
      </c>
      <c r="O374" t="s">
        <v>22</v>
      </c>
      <c r="P374">
        <v>20</v>
      </c>
      <c r="Q374">
        <v>1</v>
      </c>
    </row>
    <row r="375" spans="11:17" x14ac:dyDescent="0.3">
      <c r="K375" t="s">
        <v>28</v>
      </c>
      <c r="L375">
        <v>40.668424000000002</v>
      </c>
      <c r="M375">
        <v>22.912133000000001</v>
      </c>
      <c r="N375" t="s">
        <v>5</v>
      </c>
      <c r="O375" t="s">
        <v>22</v>
      </c>
      <c r="P375">
        <v>20</v>
      </c>
      <c r="Q375">
        <v>1</v>
      </c>
    </row>
    <row r="376" spans="11:17" x14ac:dyDescent="0.3">
      <c r="K376" t="s">
        <v>28</v>
      </c>
      <c r="L376">
        <v>40.668607999999999</v>
      </c>
      <c r="M376">
        <v>22.911724</v>
      </c>
      <c r="N376" t="s">
        <v>5</v>
      </c>
      <c r="O376" t="s">
        <v>22</v>
      </c>
      <c r="P376">
        <v>20</v>
      </c>
      <c r="Q376">
        <v>1</v>
      </c>
    </row>
    <row r="377" spans="11:17" x14ac:dyDescent="0.3">
      <c r="K377" t="s">
        <v>28</v>
      </c>
      <c r="L377">
        <v>40.668765</v>
      </c>
      <c r="M377">
        <v>22.911314999999998</v>
      </c>
      <c r="N377" t="s">
        <v>5</v>
      </c>
      <c r="O377" t="s">
        <v>22</v>
      </c>
      <c r="P377">
        <v>20</v>
      </c>
      <c r="Q377">
        <v>1</v>
      </c>
    </row>
    <row r="378" spans="11:17" x14ac:dyDescent="0.3">
      <c r="K378" t="s">
        <v>28</v>
      </c>
      <c r="L378">
        <v>40.669023000000003</v>
      </c>
      <c r="M378">
        <v>22.910644999999999</v>
      </c>
      <c r="N378" t="s">
        <v>5</v>
      </c>
      <c r="O378" t="s">
        <v>22</v>
      </c>
      <c r="P378">
        <v>20</v>
      </c>
      <c r="Q378">
        <v>1</v>
      </c>
    </row>
    <row r="379" spans="11:17" x14ac:dyDescent="0.3">
      <c r="K379" t="s">
        <v>28</v>
      </c>
      <c r="L379">
        <v>40.669229000000001</v>
      </c>
      <c r="M379">
        <v>22.910043000000002</v>
      </c>
      <c r="N379" t="s">
        <v>5</v>
      </c>
      <c r="O379" t="s">
        <v>22</v>
      </c>
      <c r="P379">
        <v>20</v>
      </c>
      <c r="Q379">
        <v>1</v>
      </c>
    </row>
    <row r="380" spans="11:17" x14ac:dyDescent="0.3">
      <c r="K380" t="s">
        <v>28</v>
      </c>
      <c r="L380">
        <v>40.669474999999998</v>
      </c>
      <c r="M380">
        <v>22.909005000000001</v>
      </c>
      <c r="N380" t="s">
        <v>5</v>
      </c>
      <c r="O380" t="s">
        <v>22</v>
      </c>
      <c r="P380">
        <v>20</v>
      </c>
      <c r="Q380">
        <v>1</v>
      </c>
    </row>
    <row r="381" spans="11:17" x14ac:dyDescent="0.3">
      <c r="K381" t="s">
        <v>28</v>
      </c>
      <c r="L381">
        <v>40.669589000000002</v>
      </c>
      <c r="M381">
        <v>22.908373999999998</v>
      </c>
      <c r="N381" t="s">
        <v>5</v>
      </c>
      <c r="O381" t="s">
        <v>22</v>
      </c>
      <c r="P381">
        <v>20</v>
      </c>
      <c r="Q381">
        <v>1</v>
      </c>
    </row>
    <row r="382" spans="11:17" x14ac:dyDescent="0.3">
      <c r="K382" t="s">
        <v>28</v>
      </c>
      <c r="L382">
        <v>40.669761999999999</v>
      </c>
      <c r="M382">
        <v>22.907387</v>
      </c>
      <c r="N382" t="s">
        <v>5</v>
      </c>
      <c r="O382" t="s">
        <v>22</v>
      </c>
      <c r="P382">
        <v>20</v>
      </c>
      <c r="Q382">
        <v>1</v>
      </c>
    </row>
    <row r="383" spans="11:17" x14ac:dyDescent="0.3">
      <c r="K383" t="s">
        <v>28</v>
      </c>
      <c r="L383">
        <v>40.669918000000003</v>
      </c>
      <c r="M383">
        <v>22.906516</v>
      </c>
      <c r="N383" t="s">
        <v>5</v>
      </c>
      <c r="O383" t="s">
        <v>22</v>
      </c>
      <c r="P383">
        <v>20</v>
      </c>
      <c r="Q383">
        <v>1</v>
      </c>
    </row>
    <row r="384" spans="11:17" x14ac:dyDescent="0.3">
      <c r="K384" t="s">
        <v>28</v>
      </c>
      <c r="L384">
        <v>40.670074</v>
      </c>
      <c r="M384">
        <v>22.905669</v>
      </c>
      <c r="N384" t="s">
        <v>5</v>
      </c>
      <c r="O384" t="s">
        <v>22</v>
      </c>
      <c r="P384">
        <v>20</v>
      </c>
      <c r="Q384">
        <v>1</v>
      </c>
    </row>
    <row r="385" spans="11:17" x14ac:dyDescent="0.3">
      <c r="K385" t="s">
        <v>28</v>
      </c>
      <c r="L385">
        <v>40.670285999999997</v>
      </c>
      <c r="M385">
        <v>22.904800000000002</v>
      </c>
      <c r="N385" t="s">
        <v>5</v>
      </c>
      <c r="O385" t="s">
        <v>22</v>
      </c>
      <c r="P385">
        <v>20</v>
      </c>
      <c r="Q385">
        <v>1</v>
      </c>
    </row>
    <row r="386" spans="11:17" x14ac:dyDescent="0.3">
      <c r="K386" t="s">
        <v>28</v>
      </c>
      <c r="L386">
        <v>40.670513</v>
      </c>
      <c r="M386">
        <v>22.903911999999998</v>
      </c>
      <c r="N386" t="s">
        <v>5</v>
      </c>
      <c r="O386" t="s">
        <v>22</v>
      </c>
      <c r="P386">
        <v>20</v>
      </c>
      <c r="Q386">
        <v>1</v>
      </c>
    </row>
    <row r="387" spans="11:17" x14ac:dyDescent="0.3">
      <c r="K387" t="s">
        <v>28</v>
      </c>
      <c r="L387">
        <v>40.670848999999997</v>
      </c>
      <c r="M387">
        <v>22.902685000000002</v>
      </c>
      <c r="N387" t="s">
        <v>5</v>
      </c>
      <c r="O387" t="s">
        <v>22</v>
      </c>
      <c r="P387">
        <v>20</v>
      </c>
      <c r="Q387">
        <v>1</v>
      </c>
    </row>
    <row r="388" spans="11:17" x14ac:dyDescent="0.3">
      <c r="K388" t="s">
        <v>28</v>
      </c>
      <c r="L388">
        <v>40.670907</v>
      </c>
      <c r="M388">
        <v>22.902504</v>
      </c>
      <c r="N388" t="s">
        <v>5</v>
      </c>
      <c r="O388" t="s">
        <v>22</v>
      </c>
      <c r="P388">
        <v>20</v>
      </c>
      <c r="Q388">
        <v>1</v>
      </c>
    </row>
    <row r="389" spans="11:17" x14ac:dyDescent="0.3">
      <c r="K389" t="s">
        <v>28</v>
      </c>
      <c r="L389">
        <v>40.671351999999999</v>
      </c>
      <c r="M389">
        <v>22.901091000000001</v>
      </c>
      <c r="N389" t="s">
        <v>5</v>
      </c>
      <c r="O389" t="s">
        <v>22</v>
      </c>
      <c r="P389">
        <v>20</v>
      </c>
      <c r="Q389">
        <v>1</v>
      </c>
    </row>
    <row r="390" spans="11:17" x14ac:dyDescent="0.3">
      <c r="K390" t="s">
        <v>28</v>
      </c>
      <c r="L390">
        <v>40.671832000000002</v>
      </c>
      <c r="M390">
        <v>22.89969</v>
      </c>
      <c r="N390" t="s">
        <v>5</v>
      </c>
      <c r="O390" t="s">
        <v>22</v>
      </c>
      <c r="P390">
        <v>20</v>
      </c>
      <c r="Q390">
        <v>1</v>
      </c>
    </row>
    <row r="391" spans="11:17" x14ac:dyDescent="0.3">
      <c r="K391" t="s">
        <v>28</v>
      </c>
      <c r="L391">
        <v>40.671857000000003</v>
      </c>
      <c r="M391">
        <v>22.899619000000001</v>
      </c>
      <c r="N391" t="s">
        <v>5</v>
      </c>
      <c r="O391" t="s">
        <v>22</v>
      </c>
      <c r="P391">
        <v>20</v>
      </c>
      <c r="Q391">
        <v>1</v>
      </c>
    </row>
    <row r="392" spans="11:17" x14ac:dyDescent="0.3">
      <c r="K392" t="s">
        <v>28</v>
      </c>
      <c r="L392">
        <v>40.671903999999998</v>
      </c>
      <c r="M392">
        <v>22.899480000000001</v>
      </c>
      <c r="N392" t="s">
        <v>5</v>
      </c>
      <c r="O392" t="s">
        <v>22</v>
      </c>
      <c r="P392">
        <v>20</v>
      </c>
      <c r="Q392">
        <v>1</v>
      </c>
    </row>
    <row r="393" spans="11:17" x14ac:dyDescent="0.3">
      <c r="K393" t="s">
        <v>28</v>
      </c>
      <c r="L393">
        <v>40.671957999999997</v>
      </c>
      <c r="M393">
        <v>22.899467000000001</v>
      </c>
      <c r="N393" t="s">
        <v>5</v>
      </c>
      <c r="O393" t="s">
        <v>22</v>
      </c>
      <c r="P393">
        <v>20</v>
      </c>
      <c r="Q393">
        <v>1</v>
      </c>
    </row>
    <row r="394" spans="11:17" x14ac:dyDescent="0.3">
      <c r="K394" t="s">
        <v>28</v>
      </c>
      <c r="L394">
        <v>40.671978000000003</v>
      </c>
      <c r="M394">
        <v>22.899425000000001</v>
      </c>
      <c r="N394" t="s">
        <v>5</v>
      </c>
      <c r="O394" t="s">
        <v>22</v>
      </c>
      <c r="P394">
        <v>20</v>
      </c>
      <c r="Q394">
        <v>1</v>
      </c>
    </row>
    <row r="395" spans="11:17" x14ac:dyDescent="0.3">
      <c r="K395" t="s">
        <v>28</v>
      </c>
      <c r="L395">
        <v>40.671968</v>
      </c>
      <c r="M395">
        <v>22.899367000000002</v>
      </c>
      <c r="N395" t="s">
        <v>5</v>
      </c>
      <c r="O395" t="s">
        <v>22</v>
      </c>
      <c r="P395">
        <v>20</v>
      </c>
      <c r="Q395">
        <v>1</v>
      </c>
    </row>
    <row r="396" spans="11:17" x14ac:dyDescent="0.3">
      <c r="K396" t="s">
        <v>28</v>
      </c>
      <c r="L396">
        <v>40.671961000000003</v>
      </c>
      <c r="M396">
        <v>22.899356000000001</v>
      </c>
      <c r="N396" t="s">
        <v>5</v>
      </c>
      <c r="O396" t="s">
        <v>22</v>
      </c>
      <c r="P396">
        <v>20</v>
      </c>
      <c r="Q396">
        <v>1</v>
      </c>
    </row>
    <row r="397" spans="11:17" x14ac:dyDescent="0.3">
      <c r="K397" t="s">
        <v>28</v>
      </c>
      <c r="L397">
        <v>40.672144000000003</v>
      </c>
      <c r="M397">
        <v>22.898875</v>
      </c>
      <c r="N397" t="s">
        <v>5</v>
      </c>
      <c r="O397" t="s">
        <v>22</v>
      </c>
      <c r="P397">
        <v>20</v>
      </c>
      <c r="Q397">
        <v>1</v>
      </c>
    </row>
    <row r="398" spans="11:17" x14ac:dyDescent="0.3">
      <c r="K398" t="s">
        <v>28</v>
      </c>
      <c r="L398">
        <v>40.672232999999999</v>
      </c>
      <c r="M398">
        <v>22.898544999999999</v>
      </c>
      <c r="N398" t="s">
        <v>5</v>
      </c>
      <c r="O398" t="s">
        <v>22</v>
      </c>
      <c r="P398">
        <v>20</v>
      </c>
      <c r="Q398">
        <v>1</v>
      </c>
    </row>
    <row r="399" spans="11:17" x14ac:dyDescent="0.3">
      <c r="K399" t="s">
        <v>28</v>
      </c>
      <c r="L399">
        <v>40.672297</v>
      </c>
      <c r="M399">
        <v>22.898197</v>
      </c>
      <c r="N399" t="s">
        <v>5</v>
      </c>
      <c r="O399" t="s">
        <v>22</v>
      </c>
      <c r="P399">
        <v>20</v>
      </c>
      <c r="Q399">
        <v>1</v>
      </c>
    </row>
    <row r="400" spans="11:17" x14ac:dyDescent="0.3">
      <c r="K400" t="s">
        <v>28</v>
      </c>
      <c r="L400">
        <v>40.672307000000004</v>
      </c>
      <c r="M400">
        <v>22.898119000000001</v>
      </c>
      <c r="N400" t="s">
        <v>5</v>
      </c>
      <c r="O400" t="s">
        <v>22</v>
      </c>
      <c r="P400">
        <v>20</v>
      </c>
      <c r="Q400">
        <v>1</v>
      </c>
    </row>
    <row r="401" spans="11:17" x14ac:dyDescent="0.3">
      <c r="K401" t="s">
        <v>28</v>
      </c>
      <c r="L401">
        <v>40.672336000000001</v>
      </c>
      <c r="M401">
        <v>22.897739999999999</v>
      </c>
      <c r="N401" t="s">
        <v>5</v>
      </c>
      <c r="O401" t="s">
        <v>22</v>
      </c>
      <c r="P401">
        <v>20</v>
      </c>
      <c r="Q401">
        <v>1</v>
      </c>
    </row>
    <row r="402" spans="11:17" x14ac:dyDescent="0.3">
      <c r="K402" t="s">
        <v>28</v>
      </c>
      <c r="L402">
        <v>40.672308999999998</v>
      </c>
      <c r="M402">
        <v>22.897283000000002</v>
      </c>
      <c r="N402" t="s">
        <v>5</v>
      </c>
      <c r="O402" t="s">
        <v>22</v>
      </c>
      <c r="P402">
        <v>20</v>
      </c>
      <c r="Q402">
        <v>1</v>
      </c>
    </row>
    <row r="403" spans="11:17" x14ac:dyDescent="0.3">
      <c r="K403" t="s">
        <v>28</v>
      </c>
      <c r="L403">
        <v>40.672288999999999</v>
      </c>
      <c r="M403">
        <v>22.897027999999999</v>
      </c>
      <c r="N403" t="s">
        <v>5</v>
      </c>
      <c r="O403" t="s">
        <v>22</v>
      </c>
      <c r="P403">
        <v>20</v>
      </c>
      <c r="Q403">
        <v>1</v>
      </c>
    </row>
    <row r="404" spans="11:17" x14ac:dyDescent="0.3">
      <c r="K404" t="s">
        <v>28</v>
      </c>
      <c r="L404">
        <v>40.672181000000002</v>
      </c>
      <c r="M404">
        <v>22.895727000000001</v>
      </c>
      <c r="N404" t="s">
        <v>5</v>
      </c>
      <c r="O404" t="s">
        <v>22</v>
      </c>
      <c r="P404">
        <v>20</v>
      </c>
      <c r="Q404">
        <v>1</v>
      </c>
    </row>
    <row r="405" spans="11:17" x14ac:dyDescent="0.3">
      <c r="K405" t="s">
        <v>28</v>
      </c>
      <c r="L405">
        <v>40.672058</v>
      </c>
      <c r="M405">
        <v>22.894134999999999</v>
      </c>
      <c r="N405" t="s">
        <v>5</v>
      </c>
      <c r="O405" t="s">
        <v>22</v>
      </c>
      <c r="P405">
        <v>20</v>
      </c>
      <c r="Q405">
        <v>1</v>
      </c>
    </row>
    <row r="406" spans="11:17" x14ac:dyDescent="0.3">
      <c r="K406" t="s">
        <v>28</v>
      </c>
      <c r="L406">
        <v>40.67192</v>
      </c>
      <c r="M406">
        <v>22.892353</v>
      </c>
      <c r="N406" t="s">
        <v>5</v>
      </c>
      <c r="O406" t="s">
        <v>22</v>
      </c>
      <c r="P406">
        <v>20</v>
      </c>
      <c r="Q406">
        <v>1</v>
      </c>
    </row>
    <row r="407" spans="11:17" x14ac:dyDescent="0.3">
      <c r="K407" t="s">
        <v>28</v>
      </c>
      <c r="L407">
        <v>40.671793999999998</v>
      </c>
      <c r="M407">
        <v>22.892364000000001</v>
      </c>
      <c r="N407" t="s">
        <v>5</v>
      </c>
      <c r="O407" t="s">
        <v>22</v>
      </c>
      <c r="P407">
        <v>20</v>
      </c>
      <c r="Q407">
        <v>1</v>
      </c>
    </row>
    <row r="408" spans="11:17" x14ac:dyDescent="0.3">
      <c r="K408" t="s">
        <v>28</v>
      </c>
      <c r="L408">
        <v>40.671519000000004</v>
      </c>
      <c r="M408">
        <v>22.891570999999999</v>
      </c>
      <c r="N408" t="s">
        <v>5</v>
      </c>
      <c r="O408" t="s">
        <v>22</v>
      </c>
      <c r="P408">
        <v>20</v>
      </c>
      <c r="Q408">
        <v>1</v>
      </c>
    </row>
    <row r="409" spans="11:17" x14ac:dyDescent="0.3">
      <c r="K409" t="s">
        <v>28</v>
      </c>
      <c r="L409">
        <v>40.671506999999998</v>
      </c>
      <c r="M409">
        <v>22.891504999999999</v>
      </c>
      <c r="N409" t="s">
        <v>5</v>
      </c>
      <c r="O409" t="s">
        <v>22</v>
      </c>
      <c r="P409">
        <v>20</v>
      </c>
      <c r="Q409">
        <v>1</v>
      </c>
    </row>
    <row r="410" spans="11:17" x14ac:dyDescent="0.3">
      <c r="K410" t="s">
        <v>28</v>
      </c>
      <c r="L410">
        <v>40.671512</v>
      </c>
      <c r="M410">
        <v>22.891358</v>
      </c>
      <c r="N410" t="s">
        <v>5</v>
      </c>
      <c r="O410" t="s">
        <v>22</v>
      </c>
      <c r="P410">
        <v>20</v>
      </c>
      <c r="Q410">
        <v>1</v>
      </c>
    </row>
    <row r="411" spans="11:17" x14ac:dyDescent="0.3">
      <c r="K411" t="s">
        <v>28</v>
      </c>
      <c r="L411">
        <v>40.671588999999997</v>
      </c>
      <c r="M411">
        <v>22.891106000000001</v>
      </c>
      <c r="N411" t="s">
        <v>5</v>
      </c>
      <c r="O411" t="s">
        <v>22</v>
      </c>
      <c r="P411">
        <v>20</v>
      </c>
      <c r="Q411">
        <v>1</v>
      </c>
    </row>
    <row r="412" spans="11:17" x14ac:dyDescent="0.3">
      <c r="K412" t="s">
        <v>28</v>
      </c>
      <c r="L412">
        <v>40.671846000000002</v>
      </c>
      <c r="M412">
        <v>22.890070000000001</v>
      </c>
      <c r="N412" t="s">
        <v>5</v>
      </c>
      <c r="O412" t="s">
        <v>22</v>
      </c>
      <c r="P412">
        <v>20</v>
      </c>
      <c r="Q412">
        <v>1</v>
      </c>
    </row>
    <row r="413" spans="11:17" x14ac:dyDescent="0.3">
      <c r="K413" t="s">
        <v>28</v>
      </c>
      <c r="L413">
        <v>40.671906</v>
      </c>
      <c r="M413">
        <v>22.889835000000001</v>
      </c>
      <c r="N413" t="s">
        <v>5</v>
      </c>
      <c r="O413" t="s">
        <v>22</v>
      </c>
      <c r="P413">
        <v>20</v>
      </c>
      <c r="Q413">
        <v>1</v>
      </c>
    </row>
    <row r="414" spans="11:17" x14ac:dyDescent="0.3">
      <c r="K414" t="s">
        <v>28</v>
      </c>
      <c r="L414">
        <v>40.671125000000004</v>
      </c>
      <c r="M414">
        <v>22.889493999999999</v>
      </c>
      <c r="N414" t="s">
        <v>5</v>
      </c>
      <c r="O414" t="s">
        <v>22</v>
      </c>
      <c r="P414">
        <v>20</v>
      </c>
      <c r="Q414">
        <v>1</v>
      </c>
    </row>
    <row r="415" spans="11:17" x14ac:dyDescent="0.3">
      <c r="K415" t="s">
        <v>28</v>
      </c>
      <c r="L415">
        <v>40.670464000000003</v>
      </c>
      <c r="M415">
        <v>22.889188000000001</v>
      </c>
      <c r="N415" t="s">
        <v>5</v>
      </c>
      <c r="O415" t="s">
        <v>22</v>
      </c>
      <c r="P415">
        <v>20</v>
      </c>
      <c r="Q415">
        <v>1</v>
      </c>
    </row>
    <row r="416" spans="11:17" x14ac:dyDescent="0.3">
      <c r="K416" t="s">
        <v>28</v>
      </c>
      <c r="L416">
        <v>40.670040999999998</v>
      </c>
      <c r="M416">
        <v>22.8888</v>
      </c>
      <c r="N416" t="s">
        <v>5</v>
      </c>
      <c r="O416" t="s">
        <v>22</v>
      </c>
      <c r="P416">
        <v>20</v>
      </c>
      <c r="Q416">
        <v>1</v>
      </c>
    </row>
    <row r="417" spans="11:17" x14ac:dyDescent="0.3">
      <c r="K417" t="s">
        <v>28</v>
      </c>
      <c r="L417">
        <v>40.669649</v>
      </c>
      <c r="M417">
        <v>22.888406</v>
      </c>
      <c r="N417" t="s">
        <v>5</v>
      </c>
      <c r="O417" t="s">
        <v>22</v>
      </c>
      <c r="P417">
        <v>20</v>
      </c>
      <c r="Q417">
        <v>1</v>
      </c>
    </row>
    <row r="418" spans="11:17" x14ac:dyDescent="0.3">
      <c r="K418" t="s">
        <v>28</v>
      </c>
      <c r="L418">
        <v>40.669257999999999</v>
      </c>
      <c r="M418">
        <v>22.888021999999999</v>
      </c>
      <c r="N418" t="s">
        <v>5</v>
      </c>
      <c r="O418" t="s">
        <v>22</v>
      </c>
      <c r="P418">
        <v>20</v>
      </c>
      <c r="Q418">
        <v>1</v>
      </c>
    </row>
    <row r="419" spans="11:17" x14ac:dyDescent="0.3">
      <c r="K419" t="s">
        <v>28</v>
      </c>
      <c r="L419">
        <v>40.669052999999998</v>
      </c>
      <c r="M419">
        <v>22.887815</v>
      </c>
      <c r="N419" t="s">
        <v>5</v>
      </c>
      <c r="O419" t="s">
        <v>22</v>
      </c>
      <c r="P419">
        <v>20</v>
      </c>
      <c r="Q419">
        <v>1</v>
      </c>
    </row>
    <row r="420" spans="11:17" x14ac:dyDescent="0.3">
      <c r="K420" t="s">
        <v>28</v>
      </c>
      <c r="L420">
        <v>40.668990999999998</v>
      </c>
      <c r="M420">
        <v>22.887694</v>
      </c>
      <c r="N420" t="s">
        <v>5</v>
      </c>
      <c r="O420" t="s">
        <v>22</v>
      </c>
      <c r="P420">
        <v>20</v>
      </c>
      <c r="Q420">
        <v>1</v>
      </c>
    </row>
    <row r="421" spans="11:17" x14ac:dyDescent="0.3">
      <c r="K421" t="s">
        <v>28</v>
      </c>
      <c r="L421">
        <v>40.669026000000002</v>
      </c>
      <c r="M421">
        <v>22.887637000000002</v>
      </c>
      <c r="N421" t="s">
        <v>5</v>
      </c>
      <c r="O421" t="s">
        <v>22</v>
      </c>
      <c r="P421">
        <v>20</v>
      </c>
      <c r="Q421">
        <v>1</v>
      </c>
    </row>
    <row r="422" spans="11:17" x14ac:dyDescent="0.3">
      <c r="K422" t="s">
        <v>28</v>
      </c>
      <c r="L422">
        <v>40.669147000000002</v>
      </c>
      <c r="M422">
        <v>22.887447000000002</v>
      </c>
      <c r="N422" t="s">
        <v>5</v>
      </c>
      <c r="O422" t="s">
        <v>22</v>
      </c>
      <c r="P422">
        <v>20</v>
      </c>
      <c r="Q422">
        <v>1</v>
      </c>
    </row>
    <row r="423" spans="11:17" x14ac:dyDescent="0.3">
      <c r="K423" t="s">
        <v>28</v>
      </c>
      <c r="L423">
        <v>40.669514999999997</v>
      </c>
      <c r="M423">
        <v>22.886939999999999</v>
      </c>
      <c r="N423" t="s">
        <v>5</v>
      </c>
      <c r="O423" t="s">
        <v>22</v>
      </c>
      <c r="P423">
        <v>20</v>
      </c>
      <c r="Q423">
        <v>1</v>
      </c>
    </row>
    <row r="424" spans="11:17" x14ac:dyDescent="0.3">
      <c r="K424" t="s">
        <v>28</v>
      </c>
      <c r="L424">
        <v>40.670664000000002</v>
      </c>
      <c r="M424">
        <v>22.885539999999999</v>
      </c>
      <c r="N424" t="s">
        <v>5</v>
      </c>
      <c r="O424" t="s">
        <v>22</v>
      </c>
      <c r="P424">
        <v>20</v>
      </c>
      <c r="Q424">
        <v>1</v>
      </c>
    </row>
    <row r="425" spans="11:17" x14ac:dyDescent="0.3">
      <c r="K425" t="s">
        <v>28</v>
      </c>
      <c r="L425">
        <v>40.670876999999997</v>
      </c>
      <c r="M425">
        <v>22.885245000000001</v>
      </c>
      <c r="N425" t="s">
        <v>5</v>
      </c>
      <c r="O425" t="s">
        <v>22</v>
      </c>
      <c r="P425">
        <v>20</v>
      </c>
      <c r="Q425">
        <v>1</v>
      </c>
    </row>
    <row r="426" spans="11:17" x14ac:dyDescent="0.3">
      <c r="K426" t="s">
        <v>28</v>
      </c>
      <c r="L426">
        <v>40.671185999999999</v>
      </c>
      <c r="M426">
        <v>22.884741999999999</v>
      </c>
      <c r="N426" t="s">
        <v>5</v>
      </c>
      <c r="O426" t="s">
        <v>22</v>
      </c>
      <c r="P426">
        <v>20</v>
      </c>
      <c r="Q426">
        <v>1</v>
      </c>
    </row>
    <row r="427" spans="11:17" x14ac:dyDescent="0.3">
      <c r="K427" t="s">
        <v>28</v>
      </c>
      <c r="L427">
        <v>40.672091000000002</v>
      </c>
      <c r="M427">
        <v>22.882936999999998</v>
      </c>
      <c r="N427" t="s">
        <v>5</v>
      </c>
      <c r="O427" t="s">
        <v>22</v>
      </c>
      <c r="P427">
        <v>20</v>
      </c>
      <c r="Q427">
        <v>1</v>
      </c>
    </row>
    <row r="428" spans="11:17" x14ac:dyDescent="0.3">
      <c r="K428" t="s">
        <v>28</v>
      </c>
      <c r="L428">
        <v>40.672375000000002</v>
      </c>
      <c r="M428">
        <v>22.882368</v>
      </c>
      <c r="N428" t="s">
        <v>5</v>
      </c>
      <c r="O428" t="s">
        <v>22</v>
      </c>
      <c r="P428">
        <v>20</v>
      </c>
      <c r="Q428">
        <v>1</v>
      </c>
    </row>
    <row r="429" spans="11:17" x14ac:dyDescent="0.3">
      <c r="K429" t="s">
        <v>28</v>
      </c>
      <c r="L429">
        <v>40.672679000000002</v>
      </c>
      <c r="M429">
        <v>22.881744999999999</v>
      </c>
      <c r="N429" t="s">
        <v>5</v>
      </c>
      <c r="O429" t="s">
        <v>22</v>
      </c>
      <c r="P429">
        <v>20</v>
      </c>
      <c r="Q429">
        <v>1</v>
      </c>
    </row>
    <row r="430" spans="11:17" x14ac:dyDescent="0.3">
      <c r="K430" t="s">
        <v>28</v>
      </c>
      <c r="L430">
        <v>40.672860999999997</v>
      </c>
      <c r="M430">
        <v>22.881375999999999</v>
      </c>
      <c r="N430" t="s">
        <v>5</v>
      </c>
      <c r="O430" t="s">
        <v>22</v>
      </c>
      <c r="P430">
        <v>20</v>
      </c>
      <c r="Q430">
        <v>1</v>
      </c>
    </row>
    <row r="431" spans="11:17" x14ac:dyDescent="0.3">
      <c r="K431" t="s">
        <v>28</v>
      </c>
      <c r="L431">
        <v>40.673152000000002</v>
      </c>
      <c r="M431">
        <v>22.880783999999998</v>
      </c>
      <c r="N431" t="s">
        <v>5</v>
      </c>
      <c r="O431" t="s">
        <v>22</v>
      </c>
      <c r="P431">
        <v>20</v>
      </c>
      <c r="Q431">
        <v>1</v>
      </c>
    </row>
    <row r="432" spans="11:17" x14ac:dyDescent="0.3">
      <c r="K432" t="s">
        <v>28</v>
      </c>
      <c r="L432">
        <v>40.673524999999998</v>
      </c>
      <c r="M432">
        <v>22.880053</v>
      </c>
      <c r="N432" t="s">
        <v>5</v>
      </c>
      <c r="O432" t="s">
        <v>22</v>
      </c>
      <c r="P432">
        <v>20</v>
      </c>
      <c r="Q432">
        <v>1</v>
      </c>
    </row>
    <row r="433" spans="11:17" x14ac:dyDescent="0.3">
      <c r="K433" t="s">
        <v>28</v>
      </c>
      <c r="L433">
        <v>40.673555</v>
      </c>
      <c r="M433">
        <v>22.879996999999999</v>
      </c>
      <c r="N433" t="s">
        <v>5</v>
      </c>
      <c r="O433" t="s">
        <v>22</v>
      </c>
      <c r="P433">
        <v>20</v>
      </c>
      <c r="Q433">
        <v>1</v>
      </c>
    </row>
    <row r="434" spans="11:17" x14ac:dyDescent="0.3">
      <c r="K434" t="s">
        <v>28</v>
      </c>
      <c r="L434">
        <v>40.673685999999996</v>
      </c>
      <c r="M434">
        <v>22.879729999999999</v>
      </c>
      <c r="N434" t="s">
        <v>5</v>
      </c>
      <c r="O434" t="s">
        <v>22</v>
      </c>
      <c r="P434">
        <v>20</v>
      </c>
      <c r="Q434">
        <v>1</v>
      </c>
    </row>
    <row r="435" spans="11:17" x14ac:dyDescent="0.3">
      <c r="K435" t="s">
        <v>28</v>
      </c>
      <c r="L435">
        <v>40.673732999999999</v>
      </c>
      <c r="M435">
        <v>22.879625999999998</v>
      </c>
      <c r="N435" t="s">
        <v>5</v>
      </c>
      <c r="O435" t="s">
        <v>22</v>
      </c>
      <c r="P435">
        <v>20</v>
      </c>
      <c r="Q435">
        <v>1</v>
      </c>
    </row>
    <row r="436" spans="11:17" x14ac:dyDescent="0.3">
      <c r="K436" t="s">
        <v>28</v>
      </c>
      <c r="L436">
        <v>40.673971999999999</v>
      </c>
      <c r="M436">
        <v>22.879142999999999</v>
      </c>
      <c r="N436" t="s">
        <v>5</v>
      </c>
      <c r="O436" t="s">
        <v>22</v>
      </c>
      <c r="P436">
        <v>20</v>
      </c>
      <c r="Q436">
        <v>1</v>
      </c>
    </row>
    <row r="437" spans="11:17" x14ac:dyDescent="0.3">
      <c r="K437" t="s">
        <v>28</v>
      </c>
      <c r="L437">
        <v>40.674138999999997</v>
      </c>
      <c r="M437">
        <v>22.878803999999999</v>
      </c>
      <c r="N437" t="s">
        <v>5</v>
      </c>
      <c r="O437" t="s">
        <v>22</v>
      </c>
      <c r="P437">
        <v>20</v>
      </c>
      <c r="Q437">
        <v>1</v>
      </c>
    </row>
    <row r="438" spans="11:17" x14ac:dyDescent="0.3">
      <c r="K438" t="s">
        <v>28</v>
      </c>
      <c r="L438">
        <v>40.674225</v>
      </c>
      <c r="M438">
        <v>22.878633000000001</v>
      </c>
      <c r="N438" t="s">
        <v>5</v>
      </c>
      <c r="O438" t="s">
        <v>22</v>
      </c>
      <c r="P438">
        <v>20</v>
      </c>
      <c r="Q438">
        <v>1</v>
      </c>
    </row>
    <row r="439" spans="11:17" x14ac:dyDescent="0.3">
      <c r="K439" t="s">
        <v>28</v>
      </c>
      <c r="L439">
        <v>40.674284999999998</v>
      </c>
      <c r="M439">
        <v>22.878511</v>
      </c>
      <c r="N439" t="s">
        <v>5</v>
      </c>
      <c r="O439" t="s">
        <v>22</v>
      </c>
      <c r="P439">
        <v>20</v>
      </c>
      <c r="Q439">
        <v>1</v>
      </c>
    </row>
    <row r="440" spans="11:17" x14ac:dyDescent="0.3">
      <c r="K440" t="s">
        <v>28</v>
      </c>
      <c r="L440">
        <v>40.674522000000003</v>
      </c>
      <c r="M440">
        <v>22.878036000000002</v>
      </c>
      <c r="N440" t="s">
        <v>5</v>
      </c>
      <c r="O440" t="s">
        <v>22</v>
      </c>
      <c r="P440">
        <v>20</v>
      </c>
      <c r="Q440">
        <v>1</v>
      </c>
    </row>
    <row r="441" spans="11:17" x14ac:dyDescent="0.3">
      <c r="K441" t="s">
        <v>28</v>
      </c>
      <c r="L441">
        <v>40.675980000000003</v>
      </c>
      <c r="M441">
        <v>22.87509</v>
      </c>
      <c r="N441" t="s">
        <v>5</v>
      </c>
      <c r="O441" t="s">
        <v>22</v>
      </c>
      <c r="P441">
        <v>20</v>
      </c>
      <c r="Q441">
        <v>1</v>
      </c>
    </row>
    <row r="442" spans="11:17" x14ac:dyDescent="0.3">
      <c r="K442" t="s">
        <v>28</v>
      </c>
      <c r="L442">
        <v>40.676569000000001</v>
      </c>
      <c r="M442">
        <v>22.87387</v>
      </c>
      <c r="N442" t="s">
        <v>5</v>
      </c>
      <c r="O442" t="s">
        <v>22</v>
      </c>
      <c r="P442">
        <v>20</v>
      </c>
      <c r="Q442">
        <v>1</v>
      </c>
    </row>
    <row r="443" spans="11:17" x14ac:dyDescent="0.3">
      <c r="K443" t="s">
        <v>28</v>
      </c>
      <c r="L443">
        <v>40.677469000000002</v>
      </c>
      <c r="M443">
        <v>22.871979</v>
      </c>
      <c r="N443" t="s">
        <v>5</v>
      </c>
      <c r="O443" t="s">
        <v>22</v>
      </c>
      <c r="P443">
        <v>20</v>
      </c>
      <c r="Q443">
        <v>1</v>
      </c>
    </row>
    <row r="444" spans="11:17" x14ac:dyDescent="0.3">
      <c r="K444" t="s">
        <v>28</v>
      </c>
      <c r="L444">
        <v>40.677787000000002</v>
      </c>
      <c r="M444">
        <v>22.871335999999999</v>
      </c>
      <c r="N444" t="s">
        <v>5</v>
      </c>
      <c r="O444" t="s">
        <v>22</v>
      </c>
      <c r="P444">
        <v>20</v>
      </c>
      <c r="Q444">
        <v>1</v>
      </c>
    </row>
    <row r="445" spans="11:17" x14ac:dyDescent="0.3">
      <c r="K445" t="s">
        <v>28</v>
      </c>
      <c r="L445">
        <v>40.677840000000003</v>
      </c>
      <c r="M445">
        <v>22.871227999999999</v>
      </c>
      <c r="N445" t="s">
        <v>5</v>
      </c>
      <c r="O445" t="s">
        <v>22</v>
      </c>
      <c r="P445">
        <v>20</v>
      </c>
      <c r="Q445">
        <v>1</v>
      </c>
    </row>
    <row r="446" spans="11:17" x14ac:dyDescent="0.3">
      <c r="K446" t="s">
        <v>28</v>
      </c>
      <c r="L446">
        <v>40.678308999999999</v>
      </c>
      <c r="M446">
        <v>22.870276</v>
      </c>
      <c r="N446" t="s">
        <v>5</v>
      </c>
      <c r="O446" t="s">
        <v>22</v>
      </c>
      <c r="P446">
        <v>20</v>
      </c>
      <c r="Q446">
        <v>1</v>
      </c>
    </row>
    <row r="447" spans="11:17" x14ac:dyDescent="0.3">
      <c r="K447" t="s">
        <v>28</v>
      </c>
      <c r="L447">
        <v>40.678474999999999</v>
      </c>
      <c r="M447">
        <v>22.869948000000001</v>
      </c>
      <c r="N447" t="s">
        <v>5</v>
      </c>
      <c r="O447" t="s">
        <v>22</v>
      </c>
      <c r="P447">
        <v>20</v>
      </c>
      <c r="Q447">
        <v>1</v>
      </c>
    </row>
    <row r="448" spans="11:17" x14ac:dyDescent="0.3">
      <c r="K448" t="s">
        <v>28</v>
      </c>
      <c r="L448">
        <v>40.678711999999997</v>
      </c>
      <c r="M448">
        <v>22.869506000000001</v>
      </c>
      <c r="N448" t="s">
        <v>5</v>
      </c>
      <c r="O448" t="s">
        <v>22</v>
      </c>
      <c r="P448">
        <v>20</v>
      </c>
      <c r="Q448">
        <v>1</v>
      </c>
    </row>
    <row r="449" spans="11:17" x14ac:dyDescent="0.3">
      <c r="K449" t="s">
        <v>28</v>
      </c>
      <c r="L449">
        <v>40.678899999999999</v>
      </c>
      <c r="M449">
        <v>22.869145</v>
      </c>
      <c r="N449" t="s">
        <v>5</v>
      </c>
      <c r="O449" t="s">
        <v>22</v>
      </c>
      <c r="P449">
        <v>20</v>
      </c>
      <c r="Q449">
        <v>1</v>
      </c>
    </row>
    <row r="450" spans="11:17" x14ac:dyDescent="0.3">
      <c r="K450" t="s">
        <v>28</v>
      </c>
      <c r="L450">
        <v>40.678941000000002</v>
      </c>
      <c r="M450">
        <v>22.869064000000002</v>
      </c>
      <c r="N450" t="s">
        <v>5</v>
      </c>
      <c r="O450" t="s">
        <v>22</v>
      </c>
      <c r="P450">
        <v>20</v>
      </c>
      <c r="Q450">
        <v>1</v>
      </c>
    </row>
    <row r="451" spans="11:17" x14ac:dyDescent="0.3">
      <c r="K451" t="s">
        <v>28</v>
      </c>
      <c r="L451">
        <v>40.679209</v>
      </c>
      <c r="M451">
        <v>22.868794000000001</v>
      </c>
      <c r="N451" t="s">
        <v>5</v>
      </c>
      <c r="O451" t="s">
        <v>22</v>
      </c>
      <c r="P451">
        <v>20</v>
      </c>
      <c r="Q451">
        <v>1</v>
      </c>
    </row>
    <row r="452" spans="11:17" x14ac:dyDescent="0.3">
      <c r="K452" t="s">
        <v>28</v>
      </c>
      <c r="L452">
        <v>40.679419000000003</v>
      </c>
      <c r="M452">
        <v>22.868672</v>
      </c>
      <c r="N452" t="s">
        <v>5</v>
      </c>
      <c r="O452" t="s">
        <v>22</v>
      </c>
      <c r="P452">
        <v>20</v>
      </c>
      <c r="Q452">
        <v>1</v>
      </c>
    </row>
    <row r="453" spans="11:17" x14ac:dyDescent="0.3">
      <c r="K453" t="s">
        <v>28</v>
      </c>
      <c r="L453">
        <v>40.679772</v>
      </c>
      <c r="M453">
        <v>22.868551</v>
      </c>
      <c r="N453" t="s">
        <v>5</v>
      </c>
      <c r="O453" t="s">
        <v>22</v>
      </c>
      <c r="P453">
        <v>20</v>
      </c>
      <c r="Q453">
        <v>1</v>
      </c>
    </row>
    <row r="454" spans="11:17" x14ac:dyDescent="0.3">
      <c r="K454" t="s">
        <v>28</v>
      </c>
      <c r="L454">
        <v>40.679952</v>
      </c>
      <c r="M454">
        <v>22.868462999999998</v>
      </c>
      <c r="N454" t="s">
        <v>5</v>
      </c>
      <c r="O454" t="s">
        <v>22</v>
      </c>
      <c r="P454">
        <v>20</v>
      </c>
      <c r="Q454">
        <v>1</v>
      </c>
    </row>
    <row r="455" spans="11:17" x14ac:dyDescent="0.3">
      <c r="K455" t="s">
        <v>28</v>
      </c>
      <c r="L455">
        <v>40.680242</v>
      </c>
      <c r="M455">
        <v>22.868461</v>
      </c>
      <c r="N455" t="s">
        <v>5</v>
      </c>
      <c r="O455" t="s">
        <v>22</v>
      </c>
      <c r="P455">
        <v>20</v>
      </c>
      <c r="Q455">
        <v>1</v>
      </c>
    </row>
    <row r="456" spans="11:17" x14ac:dyDescent="0.3">
      <c r="K456" t="s">
        <v>28</v>
      </c>
      <c r="L456">
        <v>40.680605999999997</v>
      </c>
      <c r="M456">
        <v>22.868521000000001</v>
      </c>
      <c r="N456" t="s">
        <v>5</v>
      </c>
      <c r="O456" t="s">
        <v>22</v>
      </c>
      <c r="P456">
        <v>20</v>
      </c>
      <c r="Q456">
        <v>1</v>
      </c>
    </row>
    <row r="457" spans="11:17" x14ac:dyDescent="0.3">
      <c r="K457" t="s">
        <v>28</v>
      </c>
      <c r="L457">
        <v>40.681170000000002</v>
      </c>
      <c r="M457">
        <v>22.868652999999998</v>
      </c>
      <c r="N457" t="s">
        <v>5</v>
      </c>
      <c r="O457" t="s">
        <v>22</v>
      </c>
      <c r="P457">
        <v>20</v>
      </c>
      <c r="Q457">
        <v>1</v>
      </c>
    </row>
    <row r="458" spans="11:17" x14ac:dyDescent="0.3">
      <c r="K458" t="s">
        <v>28</v>
      </c>
      <c r="L458">
        <v>40.681429000000001</v>
      </c>
      <c r="M458">
        <v>22.868673000000001</v>
      </c>
      <c r="N458" t="s">
        <v>5</v>
      </c>
      <c r="O458" t="s">
        <v>22</v>
      </c>
      <c r="P458">
        <v>20</v>
      </c>
      <c r="Q458">
        <v>1</v>
      </c>
    </row>
    <row r="459" spans="11:17" x14ac:dyDescent="0.3">
      <c r="K459" t="s">
        <v>28</v>
      </c>
      <c r="L459">
        <v>40.681587</v>
      </c>
      <c r="M459">
        <v>22.868639000000002</v>
      </c>
      <c r="N459" t="s">
        <v>5</v>
      </c>
      <c r="O459" t="s">
        <v>22</v>
      </c>
      <c r="P459">
        <v>20</v>
      </c>
      <c r="Q459">
        <v>1</v>
      </c>
    </row>
    <row r="460" spans="11:17" x14ac:dyDescent="0.3">
      <c r="K460" t="s">
        <v>28</v>
      </c>
      <c r="L460">
        <v>40.683039000000001</v>
      </c>
      <c r="M460">
        <v>22.868137000000001</v>
      </c>
      <c r="N460" t="s">
        <v>5</v>
      </c>
      <c r="O460" t="s">
        <v>22</v>
      </c>
      <c r="P460">
        <v>20</v>
      </c>
      <c r="Q460">
        <v>1</v>
      </c>
    </row>
    <row r="461" spans="11:17" x14ac:dyDescent="0.3">
      <c r="K461" t="s">
        <v>28</v>
      </c>
      <c r="L461">
        <v>40.683441000000002</v>
      </c>
      <c r="M461">
        <v>22.867988</v>
      </c>
      <c r="N461" t="s">
        <v>5</v>
      </c>
      <c r="O461" t="s">
        <v>22</v>
      </c>
      <c r="P461">
        <v>20</v>
      </c>
      <c r="Q461">
        <v>1</v>
      </c>
    </row>
    <row r="462" spans="11:17" x14ac:dyDescent="0.3">
      <c r="K462" t="s">
        <v>28</v>
      </c>
      <c r="L462">
        <v>40.683596999999999</v>
      </c>
      <c r="M462">
        <v>22.867898</v>
      </c>
      <c r="N462" t="s">
        <v>5</v>
      </c>
      <c r="O462" t="s">
        <v>22</v>
      </c>
      <c r="P462">
        <v>20</v>
      </c>
      <c r="Q462">
        <v>1</v>
      </c>
    </row>
    <row r="463" spans="11:17" x14ac:dyDescent="0.3">
      <c r="K463" t="s">
        <v>28</v>
      </c>
      <c r="L463">
        <v>40.683773000000002</v>
      </c>
      <c r="M463">
        <v>22.867761000000002</v>
      </c>
      <c r="N463" t="s">
        <v>5</v>
      </c>
      <c r="O463" t="s">
        <v>22</v>
      </c>
      <c r="P463">
        <v>20</v>
      </c>
      <c r="Q463">
        <v>1</v>
      </c>
    </row>
    <row r="464" spans="11:17" x14ac:dyDescent="0.3">
      <c r="K464" t="s">
        <v>28</v>
      </c>
      <c r="L464">
        <v>40.684854000000001</v>
      </c>
      <c r="M464">
        <v>22.866714999999999</v>
      </c>
      <c r="N464" t="s">
        <v>5</v>
      </c>
      <c r="O464" t="s">
        <v>22</v>
      </c>
      <c r="P464">
        <v>20</v>
      </c>
      <c r="Q464">
        <v>1</v>
      </c>
    </row>
    <row r="465" spans="11:17" x14ac:dyDescent="0.3">
      <c r="K465" t="s">
        <v>28</v>
      </c>
      <c r="L465">
        <v>40.685583000000001</v>
      </c>
      <c r="M465">
        <v>22.866033000000002</v>
      </c>
      <c r="N465" t="s">
        <v>5</v>
      </c>
      <c r="O465" t="s">
        <v>22</v>
      </c>
      <c r="P465">
        <v>20</v>
      </c>
      <c r="Q465">
        <v>1</v>
      </c>
    </row>
    <row r="466" spans="11:17" x14ac:dyDescent="0.3">
      <c r="K466" t="s">
        <v>28</v>
      </c>
      <c r="L466">
        <v>40.686314000000003</v>
      </c>
      <c r="M466">
        <v>22.865345999999999</v>
      </c>
      <c r="N466" t="s">
        <v>5</v>
      </c>
      <c r="O466" t="s">
        <v>22</v>
      </c>
      <c r="P466">
        <v>20</v>
      </c>
      <c r="Q466">
        <v>1</v>
      </c>
    </row>
    <row r="467" spans="11:17" x14ac:dyDescent="0.3">
      <c r="K467" t="s">
        <v>28</v>
      </c>
      <c r="L467">
        <v>40.686515999999997</v>
      </c>
      <c r="M467">
        <v>22.865113999999998</v>
      </c>
      <c r="N467" t="s">
        <v>5</v>
      </c>
      <c r="O467" t="s">
        <v>22</v>
      </c>
      <c r="P467">
        <v>20</v>
      </c>
      <c r="Q467">
        <v>1</v>
      </c>
    </row>
    <row r="468" spans="11:17" x14ac:dyDescent="0.3">
      <c r="K468" t="s">
        <v>28</v>
      </c>
      <c r="L468">
        <v>40.686618000000003</v>
      </c>
      <c r="M468">
        <v>22.864965999999999</v>
      </c>
      <c r="N468" t="s">
        <v>5</v>
      </c>
      <c r="O468" t="s">
        <v>22</v>
      </c>
      <c r="P468">
        <v>20</v>
      </c>
      <c r="Q468">
        <v>1</v>
      </c>
    </row>
    <row r="469" spans="11:17" x14ac:dyDescent="0.3">
      <c r="K469" t="s">
        <v>28</v>
      </c>
      <c r="L469">
        <v>40.686909</v>
      </c>
      <c r="M469">
        <v>22.864456000000001</v>
      </c>
      <c r="N469" t="s">
        <v>5</v>
      </c>
      <c r="O469" t="s">
        <v>22</v>
      </c>
      <c r="P469">
        <v>20</v>
      </c>
      <c r="Q469">
        <v>1</v>
      </c>
    </row>
    <row r="470" spans="11:17" x14ac:dyDescent="0.3">
      <c r="K470" t="s">
        <v>28</v>
      </c>
      <c r="L470">
        <v>40.687004999999999</v>
      </c>
      <c r="M470">
        <v>22.864294999999998</v>
      </c>
      <c r="N470" t="s">
        <v>5</v>
      </c>
      <c r="O470" t="s">
        <v>22</v>
      </c>
      <c r="P470">
        <v>20</v>
      </c>
      <c r="Q470">
        <v>1</v>
      </c>
    </row>
    <row r="471" spans="11:17" x14ac:dyDescent="0.3">
      <c r="K471" t="s">
        <v>28</v>
      </c>
      <c r="L471">
        <v>40.687365</v>
      </c>
      <c r="M471">
        <v>22.863676000000002</v>
      </c>
      <c r="N471" t="s">
        <v>5</v>
      </c>
      <c r="O471" t="s">
        <v>22</v>
      </c>
      <c r="P471">
        <v>20</v>
      </c>
      <c r="Q471">
        <v>1</v>
      </c>
    </row>
    <row r="472" spans="11:17" x14ac:dyDescent="0.3">
      <c r="K472" t="s">
        <v>28</v>
      </c>
      <c r="L472">
        <v>40.687703999999997</v>
      </c>
      <c r="M472">
        <v>22.863195999999999</v>
      </c>
      <c r="N472" t="s">
        <v>5</v>
      </c>
      <c r="O472" t="s">
        <v>22</v>
      </c>
      <c r="P472">
        <v>20</v>
      </c>
      <c r="Q472">
        <v>1</v>
      </c>
    </row>
    <row r="473" spans="11:17" x14ac:dyDescent="0.3">
      <c r="K473" t="s">
        <v>28</v>
      </c>
      <c r="L473">
        <v>40.688324999999999</v>
      </c>
      <c r="M473">
        <v>22.862352999999999</v>
      </c>
      <c r="N473" t="s">
        <v>5</v>
      </c>
      <c r="O473" t="s">
        <v>22</v>
      </c>
      <c r="P473">
        <v>20</v>
      </c>
      <c r="Q473">
        <v>1</v>
      </c>
    </row>
    <row r="474" spans="11:17" x14ac:dyDescent="0.3">
      <c r="K474" t="s">
        <v>28</v>
      </c>
      <c r="L474">
        <v>40.689135999999998</v>
      </c>
      <c r="M474">
        <v>22.861415999999998</v>
      </c>
      <c r="N474" t="s">
        <v>5</v>
      </c>
      <c r="O474" t="s">
        <v>22</v>
      </c>
      <c r="P474">
        <v>20</v>
      </c>
      <c r="Q474">
        <v>1</v>
      </c>
    </row>
    <row r="475" spans="11:17" x14ac:dyDescent="0.3">
      <c r="K475" t="s">
        <v>28</v>
      </c>
      <c r="L475">
        <v>40.690264999999997</v>
      </c>
      <c r="M475">
        <v>22.860102999999999</v>
      </c>
      <c r="N475" t="s">
        <v>5</v>
      </c>
      <c r="O475" t="s">
        <v>22</v>
      </c>
      <c r="P475">
        <v>20</v>
      </c>
      <c r="Q475">
        <v>1</v>
      </c>
    </row>
    <row r="476" spans="11:17" x14ac:dyDescent="0.3">
      <c r="K476" t="s">
        <v>28</v>
      </c>
      <c r="L476">
        <v>40.690601999999998</v>
      </c>
      <c r="M476">
        <v>22.859766</v>
      </c>
      <c r="N476" t="s">
        <v>5</v>
      </c>
      <c r="O476" t="s">
        <v>22</v>
      </c>
      <c r="P476">
        <v>20</v>
      </c>
      <c r="Q476">
        <v>1</v>
      </c>
    </row>
    <row r="477" spans="11:17" x14ac:dyDescent="0.3">
      <c r="K477" t="s">
        <v>28</v>
      </c>
      <c r="L477">
        <v>40.691223000000001</v>
      </c>
      <c r="M477">
        <v>22.859119</v>
      </c>
      <c r="N477" t="s">
        <v>5</v>
      </c>
      <c r="O477" t="s">
        <v>22</v>
      </c>
      <c r="P477">
        <v>20</v>
      </c>
      <c r="Q477">
        <v>1</v>
      </c>
    </row>
    <row r="478" spans="11:17" x14ac:dyDescent="0.3">
      <c r="K478" t="s">
        <v>28</v>
      </c>
      <c r="L478">
        <v>40.691724999999998</v>
      </c>
      <c r="M478">
        <v>22.858604</v>
      </c>
      <c r="N478" t="s">
        <v>5</v>
      </c>
      <c r="O478" t="s">
        <v>22</v>
      </c>
      <c r="P478">
        <v>20</v>
      </c>
      <c r="Q478">
        <v>1</v>
      </c>
    </row>
    <row r="479" spans="11:17" x14ac:dyDescent="0.3">
      <c r="K479" t="s">
        <v>28</v>
      </c>
      <c r="L479">
        <v>40.691845999999998</v>
      </c>
      <c r="M479">
        <v>22.85849</v>
      </c>
      <c r="N479" t="s">
        <v>5</v>
      </c>
      <c r="O479" t="s">
        <v>22</v>
      </c>
      <c r="P479">
        <v>20</v>
      </c>
      <c r="Q479">
        <v>1</v>
      </c>
    </row>
    <row r="480" spans="11:17" x14ac:dyDescent="0.3">
      <c r="K480" t="s">
        <v>28</v>
      </c>
      <c r="L480">
        <v>40.692031</v>
      </c>
      <c r="M480">
        <v>22.858357999999999</v>
      </c>
      <c r="N480" t="s">
        <v>5</v>
      </c>
      <c r="O480" t="s">
        <v>22</v>
      </c>
      <c r="P480">
        <v>20</v>
      </c>
      <c r="Q480">
        <v>1</v>
      </c>
    </row>
    <row r="481" spans="11:17" x14ac:dyDescent="0.3">
      <c r="K481" t="s">
        <v>28</v>
      </c>
      <c r="L481">
        <v>40.692829000000003</v>
      </c>
      <c r="M481">
        <v>22.857904000000001</v>
      </c>
      <c r="N481" t="s">
        <v>5</v>
      </c>
      <c r="O481" t="s">
        <v>22</v>
      </c>
      <c r="P481">
        <v>20</v>
      </c>
      <c r="Q481">
        <v>1</v>
      </c>
    </row>
    <row r="482" spans="11:17" x14ac:dyDescent="0.3">
      <c r="K482" t="s">
        <v>28</v>
      </c>
      <c r="L482">
        <v>40.693182</v>
      </c>
      <c r="M482">
        <v>22.857714999999999</v>
      </c>
      <c r="N482" t="s">
        <v>5</v>
      </c>
      <c r="O482" t="s">
        <v>22</v>
      </c>
      <c r="P482">
        <v>20</v>
      </c>
      <c r="Q482">
        <v>1</v>
      </c>
    </row>
    <row r="483" spans="11:17" x14ac:dyDescent="0.3">
      <c r="K483" t="s">
        <v>28</v>
      </c>
      <c r="L483">
        <v>40.693694999999998</v>
      </c>
      <c r="M483">
        <v>22.857451999999999</v>
      </c>
      <c r="N483" t="s">
        <v>5</v>
      </c>
      <c r="O483" t="s">
        <v>22</v>
      </c>
      <c r="P483">
        <v>20</v>
      </c>
      <c r="Q483">
        <v>1</v>
      </c>
    </row>
    <row r="484" spans="11:17" x14ac:dyDescent="0.3">
      <c r="K484" t="s">
        <v>28</v>
      </c>
      <c r="L484">
        <v>40.694146000000003</v>
      </c>
      <c r="M484">
        <v>22.857189999999999</v>
      </c>
      <c r="N484" t="s">
        <v>5</v>
      </c>
      <c r="O484" t="s">
        <v>22</v>
      </c>
      <c r="P484">
        <v>20</v>
      </c>
      <c r="Q484">
        <v>1</v>
      </c>
    </row>
    <row r="485" spans="11:17" x14ac:dyDescent="0.3">
      <c r="K485" t="s">
        <v>28</v>
      </c>
      <c r="L485">
        <v>40.694113999999999</v>
      </c>
      <c r="M485">
        <v>22.857068999999999</v>
      </c>
      <c r="N485" t="s">
        <v>5</v>
      </c>
      <c r="O485" t="s">
        <v>22</v>
      </c>
      <c r="P485">
        <v>20</v>
      </c>
      <c r="Q485">
        <v>1</v>
      </c>
    </row>
    <row r="486" spans="11:17" x14ac:dyDescent="0.3">
      <c r="K486" t="s">
        <v>28</v>
      </c>
      <c r="L486">
        <v>40.694114999999996</v>
      </c>
      <c r="M486">
        <v>22.85697</v>
      </c>
      <c r="N486" t="s">
        <v>5</v>
      </c>
      <c r="O486" t="s">
        <v>22</v>
      </c>
      <c r="P486">
        <v>20</v>
      </c>
      <c r="Q486">
        <v>1</v>
      </c>
    </row>
    <row r="487" spans="11:17" x14ac:dyDescent="0.3">
      <c r="K487" t="s">
        <v>28</v>
      </c>
      <c r="L487">
        <v>40.694181</v>
      </c>
      <c r="M487">
        <v>22.856784000000001</v>
      </c>
      <c r="N487" t="s">
        <v>5</v>
      </c>
      <c r="O487" t="s">
        <v>22</v>
      </c>
      <c r="P487">
        <v>20</v>
      </c>
      <c r="Q487">
        <v>1</v>
      </c>
    </row>
    <row r="488" spans="11:17" x14ac:dyDescent="0.3">
      <c r="K488" t="s">
        <v>28</v>
      </c>
      <c r="L488">
        <v>40.694437999999998</v>
      </c>
      <c r="M488">
        <v>22.855768000000001</v>
      </c>
      <c r="N488" t="s">
        <v>5</v>
      </c>
      <c r="O488" t="s">
        <v>22</v>
      </c>
      <c r="P488">
        <v>20</v>
      </c>
      <c r="Q488">
        <v>1</v>
      </c>
    </row>
    <row r="489" spans="11:17" x14ac:dyDescent="0.3">
      <c r="K489" t="s">
        <v>28</v>
      </c>
      <c r="L489">
        <v>40.694521999999999</v>
      </c>
      <c r="M489">
        <v>22.855488999999999</v>
      </c>
      <c r="N489" t="s">
        <v>5</v>
      </c>
      <c r="O489" t="s">
        <v>22</v>
      </c>
      <c r="P489">
        <v>20</v>
      </c>
      <c r="Q489">
        <v>1</v>
      </c>
    </row>
    <row r="490" spans="11:17" x14ac:dyDescent="0.3">
      <c r="K490" t="s">
        <v>28</v>
      </c>
      <c r="L490">
        <v>40.694586000000001</v>
      </c>
      <c r="M490">
        <v>22.855340999999999</v>
      </c>
      <c r="N490" t="s">
        <v>5</v>
      </c>
      <c r="O490" t="s">
        <v>22</v>
      </c>
      <c r="P490">
        <v>20</v>
      </c>
      <c r="Q490">
        <v>1</v>
      </c>
    </row>
    <row r="491" spans="11:17" x14ac:dyDescent="0.3">
      <c r="K491" t="s">
        <v>28</v>
      </c>
      <c r="L491">
        <v>40.694695000000003</v>
      </c>
      <c r="M491">
        <v>22.855187000000001</v>
      </c>
      <c r="N491" t="s">
        <v>5</v>
      </c>
      <c r="O491" t="s">
        <v>22</v>
      </c>
      <c r="P491">
        <v>20</v>
      </c>
      <c r="Q491">
        <v>1</v>
      </c>
    </row>
    <row r="492" spans="11:17" x14ac:dyDescent="0.3">
      <c r="K492" t="s">
        <v>28</v>
      </c>
      <c r="L492">
        <v>40.694972</v>
      </c>
      <c r="M492">
        <v>22.854870999999999</v>
      </c>
      <c r="N492" t="s">
        <v>5</v>
      </c>
      <c r="O492" t="s">
        <v>22</v>
      </c>
      <c r="P492">
        <v>20</v>
      </c>
      <c r="Q492">
        <v>1</v>
      </c>
    </row>
    <row r="493" spans="11:17" x14ac:dyDescent="0.3">
      <c r="K493" t="s">
        <v>28</v>
      </c>
      <c r="L493">
        <v>40.695205999999999</v>
      </c>
      <c r="M493">
        <v>22.854619</v>
      </c>
      <c r="N493" t="s">
        <v>5</v>
      </c>
      <c r="O493" t="s">
        <v>22</v>
      </c>
      <c r="P493">
        <v>20</v>
      </c>
      <c r="Q493">
        <v>1</v>
      </c>
    </row>
    <row r="494" spans="11:17" x14ac:dyDescent="0.3">
      <c r="K494" t="s">
        <v>28</v>
      </c>
      <c r="L494">
        <v>40.695729999999998</v>
      </c>
      <c r="M494">
        <v>22.854105000000001</v>
      </c>
      <c r="N494" t="s">
        <v>5</v>
      </c>
      <c r="O494" t="s">
        <v>22</v>
      </c>
      <c r="P494">
        <v>20</v>
      </c>
      <c r="Q494">
        <v>1</v>
      </c>
    </row>
    <row r="495" spans="11:17" x14ac:dyDescent="0.3">
      <c r="K495" t="s">
        <v>28</v>
      </c>
      <c r="L495">
        <v>40.696331000000001</v>
      </c>
      <c r="M495">
        <v>22.853429999999999</v>
      </c>
      <c r="N495" t="s">
        <v>5</v>
      </c>
      <c r="O495" t="s">
        <v>22</v>
      </c>
      <c r="P495">
        <v>20</v>
      </c>
      <c r="Q495">
        <v>1</v>
      </c>
    </row>
    <row r="496" spans="11:17" x14ac:dyDescent="0.3">
      <c r="K496" t="s">
        <v>28</v>
      </c>
      <c r="L496">
        <v>40.696106999999998</v>
      </c>
      <c r="M496">
        <v>22.852436999999998</v>
      </c>
      <c r="N496" t="s">
        <v>5</v>
      </c>
      <c r="O496" t="s">
        <v>22</v>
      </c>
      <c r="P496">
        <v>20</v>
      </c>
      <c r="Q496">
        <v>1</v>
      </c>
    </row>
    <row r="497" spans="11:17" x14ac:dyDescent="0.3">
      <c r="K497" t="s">
        <v>28</v>
      </c>
      <c r="L497">
        <v>40.695931999999999</v>
      </c>
      <c r="M497">
        <v>22.851806</v>
      </c>
      <c r="N497" t="s">
        <v>5</v>
      </c>
      <c r="O497" t="s">
        <v>22</v>
      </c>
      <c r="P497">
        <v>20</v>
      </c>
      <c r="Q497">
        <v>1</v>
      </c>
    </row>
    <row r="498" spans="11:17" x14ac:dyDescent="0.3">
      <c r="K498" t="s">
        <v>28</v>
      </c>
      <c r="L498">
        <v>40.695773000000003</v>
      </c>
      <c r="M498">
        <v>22.851267</v>
      </c>
      <c r="N498" t="s">
        <v>5</v>
      </c>
      <c r="O498" t="s">
        <v>22</v>
      </c>
      <c r="P498">
        <v>20</v>
      </c>
      <c r="Q498">
        <v>1</v>
      </c>
    </row>
    <row r="499" spans="11:17" x14ac:dyDescent="0.3">
      <c r="K499" t="s">
        <v>28</v>
      </c>
      <c r="L499">
        <v>40.695604000000003</v>
      </c>
      <c r="M499">
        <v>22.850764000000002</v>
      </c>
      <c r="N499" t="s">
        <v>5</v>
      </c>
      <c r="O499" t="s">
        <v>22</v>
      </c>
      <c r="P499">
        <v>20</v>
      </c>
      <c r="Q499">
        <v>1</v>
      </c>
    </row>
    <row r="500" spans="11:17" x14ac:dyDescent="0.3">
      <c r="K500" t="s">
        <v>28</v>
      </c>
      <c r="L500">
        <v>40.694842000000001</v>
      </c>
      <c r="M500">
        <v>22.848863999999999</v>
      </c>
      <c r="N500" t="s">
        <v>5</v>
      </c>
      <c r="O500" t="s">
        <v>22</v>
      </c>
      <c r="P500">
        <v>20</v>
      </c>
      <c r="Q500">
        <v>1</v>
      </c>
    </row>
    <row r="501" spans="11:17" x14ac:dyDescent="0.3">
      <c r="K501" t="s">
        <v>28</v>
      </c>
      <c r="L501">
        <v>40.694766999999999</v>
      </c>
      <c r="M501">
        <v>22.848745000000001</v>
      </c>
      <c r="N501" t="s">
        <v>5</v>
      </c>
      <c r="O501" t="s">
        <v>22</v>
      </c>
      <c r="P501">
        <v>20</v>
      </c>
      <c r="Q501">
        <v>1</v>
      </c>
    </row>
    <row r="502" spans="11:17" x14ac:dyDescent="0.3">
      <c r="K502" t="s">
        <v>28</v>
      </c>
      <c r="L502">
        <v>40.694578</v>
      </c>
      <c r="M502">
        <v>22.848548999999998</v>
      </c>
      <c r="N502" t="s">
        <v>5</v>
      </c>
      <c r="O502" t="s">
        <v>22</v>
      </c>
      <c r="P502">
        <v>20</v>
      </c>
      <c r="Q502">
        <v>1</v>
      </c>
    </row>
    <row r="503" spans="11:17" x14ac:dyDescent="0.3">
      <c r="K503" t="s">
        <v>28</v>
      </c>
      <c r="L503">
        <v>40.694442000000002</v>
      </c>
      <c r="M503">
        <v>22.848482000000001</v>
      </c>
      <c r="N503" t="s">
        <v>5</v>
      </c>
      <c r="O503" t="s">
        <v>22</v>
      </c>
      <c r="P503">
        <v>20</v>
      </c>
      <c r="Q503">
        <v>1</v>
      </c>
    </row>
    <row r="504" spans="11:17" x14ac:dyDescent="0.3">
      <c r="K504" t="s">
        <v>28</v>
      </c>
      <c r="L504">
        <v>40.694262999999999</v>
      </c>
      <c r="M504">
        <v>22.848441999999999</v>
      </c>
      <c r="N504" t="s">
        <v>5</v>
      </c>
      <c r="O504" t="s">
        <v>22</v>
      </c>
      <c r="P504">
        <v>20</v>
      </c>
      <c r="Q504">
        <v>1</v>
      </c>
    </row>
    <row r="505" spans="11:17" x14ac:dyDescent="0.3">
      <c r="K505" t="s">
        <v>28</v>
      </c>
      <c r="L505">
        <v>40.694093000000002</v>
      </c>
      <c r="M505">
        <v>22.848465999999998</v>
      </c>
      <c r="N505" t="s">
        <v>5</v>
      </c>
      <c r="O505" t="s">
        <v>22</v>
      </c>
      <c r="P505">
        <v>20</v>
      </c>
      <c r="Q505">
        <v>1</v>
      </c>
    </row>
    <row r="506" spans="11:17" x14ac:dyDescent="0.3">
      <c r="K506" t="s">
        <v>28</v>
      </c>
      <c r="L506">
        <v>40.693700999999997</v>
      </c>
      <c r="M506">
        <v>22.848569000000001</v>
      </c>
      <c r="N506" t="s">
        <v>5</v>
      </c>
      <c r="O506" t="s">
        <v>22</v>
      </c>
      <c r="P506">
        <v>20</v>
      </c>
      <c r="Q506">
        <v>1</v>
      </c>
    </row>
    <row r="507" spans="11:17" x14ac:dyDescent="0.3">
      <c r="K507" t="s">
        <v>28</v>
      </c>
      <c r="L507">
        <v>40.693511999999998</v>
      </c>
      <c r="M507">
        <v>22.848548999999998</v>
      </c>
      <c r="N507" t="s">
        <v>5</v>
      </c>
      <c r="O507" t="s">
        <v>22</v>
      </c>
      <c r="P507">
        <v>20</v>
      </c>
      <c r="Q507">
        <v>1</v>
      </c>
    </row>
    <row r="508" spans="11:17" x14ac:dyDescent="0.3">
      <c r="K508" t="s">
        <v>28</v>
      </c>
      <c r="L508">
        <v>40.693353999999999</v>
      </c>
      <c r="M508">
        <v>22.848479999999999</v>
      </c>
      <c r="N508" t="s">
        <v>5</v>
      </c>
      <c r="O508" t="s">
        <v>22</v>
      </c>
      <c r="P508">
        <v>20</v>
      </c>
      <c r="Q508">
        <v>1</v>
      </c>
    </row>
    <row r="509" spans="11:17" x14ac:dyDescent="0.3">
      <c r="K509" t="s">
        <v>28</v>
      </c>
      <c r="L509">
        <v>40.669091999999999</v>
      </c>
      <c r="M509">
        <v>22.935068000000001</v>
      </c>
      <c r="N509" t="s">
        <v>27</v>
      </c>
      <c r="O509" t="s">
        <v>21</v>
      </c>
      <c r="P509">
        <v>20</v>
      </c>
      <c r="Q509">
        <v>5</v>
      </c>
    </row>
    <row r="510" spans="11:17" x14ac:dyDescent="0.3">
      <c r="K510" t="s">
        <v>28</v>
      </c>
      <c r="L510">
        <v>40.669280000000001</v>
      </c>
      <c r="M510">
        <v>22.935155000000002</v>
      </c>
      <c r="N510" t="s">
        <v>27</v>
      </c>
      <c r="O510" t="s">
        <v>21</v>
      </c>
      <c r="P510">
        <v>20</v>
      </c>
      <c r="Q510">
        <v>5</v>
      </c>
    </row>
    <row r="511" spans="11:17" x14ac:dyDescent="0.3">
      <c r="K511" t="s">
        <v>28</v>
      </c>
      <c r="L511">
        <v>40.669241</v>
      </c>
      <c r="M511">
        <v>22.935576999999999</v>
      </c>
      <c r="N511" t="s">
        <v>27</v>
      </c>
      <c r="O511" t="s">
        <v>21</v>
      </c>
      <c r="P511">
        <v>20</v>
      </c>
      <c r="Q511">
        <v>5</v>
      </c>
    </row>
    <row r="512" spans="11:17" x14ac:dyDescent="0.3">
      <c r="K512" t="s">
        <v>28</v>
      </c>
      <c r="L512">
        <v>40.669223000000002</v>
      </c>
      <c r="M512">
        <v>22.935787000000001</v>
      </c>
      <c r="N512" t="s">
        <v>27</v>
      </c>
      <c r="O512" t="s">
        <v>21</v>
      </c>
      <c r="P512">
        <v>20</v>
      </c>
      <c r="Q512">
        <v>5</v>
      </c>
    </row>
    <row r="513" spans="11:17" x14ac:dyDescent="0.3">
      <c r="K513" t="s">
        <v>28</v>
      </c>
      <c r="L513">
        <v>40.669148999999997</v>
      </c>
      <c r="M513">
        <v>22.935762</v>
      </c>
      <c r="N513" t="s">
        <v>27</v>
      </c>
      <c r="O513" t="s">
        <v>21</v>
      </c>
      <c r="P513">
        <v>20</v>
      </c>
      <c r="Q513">
        <v>5</v>
      </c>
    </row>
    <row r="514" spans="11:17" x14ac:dyDescent="0.3">
      <c r="K514" t="s">
        <v>28</v>
      </c>
      <c r="L514">
        <v>40.669015000000002</v>
      </c>
      <c r="M514">
        <v>22.935751</v>
      </c>
      <c r="N514" t="s">
        <v>27</v>
      </c>
      <c r="O514" t="s">
        <v>21</v>
      </c>
      <c r="P514">
        <v>20</v>
      </c>
      <c r="Q514">
        <v>5</v>
      </c>
    </row>
    <row r="515" spans="11:17" x14ac:dyDescent="0.3">
      <c r="K515" t="s">
        <v>28</v>
      </c>
      <c r="L515">
        <v>40.668992000000003</v>
      </c>
      <c r="M515">
        <v>22.935801000000001</v>
      </c>
      <c r="N515" t="s">
        <v>27</v>
      </c>
      <c r="O515" t="s">
        <v>21</v>
      </c>
      <c r="P515">
        <v>20</v>
      </c>
      <c r="Q515">
        <v>5</v>
      </c>
    </row>
    <row r="516" spans="11:17" x14ac:dyDescent="0.3">
      <c r="K516" t="s">
        <v>28</v>
      </c>
      <c r="L516">
        <v>40.668961000000003</v>
      </c>
      <c r="M516">
        <v>22.936105999999999</v>
      </c>
      <c r="N516" t="s">
        <v>27</v>
      </c>
      <c r="O516" t="s">
        <v>21</v>
      </c>
      <c r="P516">
        <v>20</v>
      </c>
      <c r="Q516">
        <v>5</v>
      </c>
    </row>
    <row r="517" spans="11:17" x14ac:dyDescent="0.3">
      <c r="K517" t="s">
        <v>28</v>
      </c>
      <c r="L517">
        <v>40.668903</v>
      </c>
      <c r="M517">
        <v>22.936696000000001</v>
      </c>
      <c r="N517" t="s">
        <v>27</v>
      </c>
      <c r="O517" t="s">
        <v>21</v>
      </c>
      <c r="P517">
        <v>20</v>
      </c>
      <c r="Q517">
        <v>5</v>
      </c>
    </row>
    <row r="518" spans="11:17" x14ac:dyDescent="0.3">
      <c r="K518" t="s">
        <v>28</v>
      </c>
      <c r="L518">
        <v>40.668886000000001</v>
      </c>
      <c r="M518">
        <v>22.936743</v>
      </c>
      <c r="N518" t="s">
        <v>27</v>
      </c>
      <c r="O518" t="s">
        <v>21</v>
      </c>
      <c r="P518">
        <v>20</v>
      </c>
      <c r="Q518">
        <v>5</v>
      </c>
    </row>
    <row r="519" spans="11:17" x14ac:dyDescent="0.3">
      <c r="K519" t="s">
        <v>28</v>
      </c>
      <c r="L519">
        <v>40.668840000000003</v>
      </c>
      <c r="M519">
        <v>22.936796000000001</v>
      </c>
      <c r="N519" t="s">
        <v>27</v>
      </c>
      <c r="O519" t="s">
        <v>21</v>
      </c>
      <c r="P519">
        <v>20</v>
      </c>
      <c r="Q519">
        <v>5</v>
      </c>
    </row>
    <row r="520" spans="11:17" x14ac:dyDescent="0.3">
      <c r="K520" t="s">
        <v>28</v>
      </c>
      <c r="L520">
        <v>40.668632000000002</v>
      </c>
      <c r="M520">
        <v>22.936955000000001</v>
      </c>
      <c r="N520" t="s">
        <v>27</v>
      </c>
      <c r="O520" t="s">
        <v>21</v>
      </c>
      <c r="P520">
        <v>20</v>
      </c>
      <c r="Q520">
        <v>5</v>
      </c>
    </row>
    <row r="521" spans="11:17" x14ac:dyDescent="0.3">
      <c r="K521" t="s">
        <v>28</v>
      </c>
      <c r="L521">
        <v>40.668590999999999</v>
      </c>
      <c r="M521">
        <v>22.937038999999999</v>
      </c>
      <c r="N521" t="s">
        <v>27</v>
      </c>
      <c r="O521" t="s">
        <v>21</v>
      </c>
      <c r="P521">
        <v>20</v>
      </c>
      <c r="Q521">
        <v>5</v>
      </c>
    </row>
    <row r="522" spans="11:17" x14ac:dyDescent="0.3">
      <c r="K522" t="s">
        <v>28</v>
      </c>
      <c r="L522">
        <v>40.668520000000001</v>
      </c>
      <c r="M522">
        <v>22.937260999999999</v>
      </c>
      <c r="N522" t="s">
        <v>27</v>
      </c>
      <c r="O522" t="s">
        <v>21</v>
      </c>
      <c r="P522">
        <v>20</v>
      </c>
      <c r="Q522">
        <v>5</v>
      </c>
    </row>
    <row r="523" spans="11:17" x14ac:dyDescent="0.3">
      <c r="K523" t="s">
        <v>28</v>
      </c>
      <c r="L523">
        <v>40.668478</v>
      </c>
      <c r="M523">
        <v>22.937546000000001</v>
      </c>
      <c r="N523" t="s">
        <v>27</v>
      </c>
      <c r="O523" t="s">
        <v>21</v>
      </c>
      <c r="P523">
        <v>20</v>
      </c>
      <c r="Q523">
        <v>5</v>
      </c>
    </row>
    <row r="524" spans="11:17" x14ac:dyDescent="0.3">
      <c r="K524" t="s">
        <v>28</v>
      </c>
      <c r="L524">
        <v>40.668464</v>
      </c>
      <c r="M524">
        <v>22.937569</v>
      </c>
      <c r="N524" t="s">
        <v>27</v>
      </c>
      <c r="O524" t="s">
        <v>21</v>
      </c>
      <c r="P524">
        <v>20</v>
      </c>
      <c r="Q524">
        <v>5</v>
      </c>
    </row>
    <row r="525" spans="11:17" x14ac:dyDescent="0.3">
      <c r="K525" t="s">
        <v>28</v>
      </c>
      <c r="L525">
        <v>40.668129999999998</v>
      </c>
      <c r="M525">
        <v>22.937452</v>
      </c>
      <c r="N525" t="s">
        <v>27</v>
      </c>
      <c r="O525" t="s">
        <v>21</v>
      </c>
      <c r="P525">
        <v>20</v>
      </c>
      <c r="Q525">
        <v>5</v>
      </c>
    </row>
    <row r="526" spans="11:17" x14ac:dyDescent="0.3">
      <c r="K526" t="s">
        <v>28</v>
      </c>
      <c r="L526">
        <v>40.668107999999997</v>
      </c>
      <c r="M526">
        <v>22.937557000000002</v>
      </c>
      <c r="N526" t="s">
        <v>27</v>
      </c>
      <c r="O526" t="s">
        <v>21</v>
      </c>
      <c r="P526">
        <v>20</v>
      </c>
      <c r="Q526">
        <v>5</v>
      </c>
    </row>
    <row r="527" spans="11:17" x14ac:dyDescent="0.3">
      <c r="K527" t="s">
        <v>28</v>
      </c>
      <c r="L527">
        <v>40.668067999999998</v>
      </c>
      <c r="M527">
        <v>22.937740000000002</v>
      </c>
      <c r="N527" t="s">
        <v>27</v>
      </c>
      <c r="O527" t="s">
        <v>21</v>
      </c>
      <c r="P527">
        <v>20</v>
      </c>
      <c r="Q527">
        <v>5</v>
      </c>
    </row>
    <row r="528" spans="11:17" x14ac:dyDescent="0.3">
      <c r="K528" t="s">
        <v>28</v>
      </c>
      <c r="L528">
        <v>40.670605000000002</v>
      </c>
      <c r="M528">
        <v>22.938638000000001</v>
      </c>
      <c r="N528" t="s">
        <v>27</v>
      </c>
      <c r="O528" t="s">
        <v>21</v>
      </c>
      <c r="P528">
        <v>20</v>
      </c>
      <c r="Q528">
        <v>5</v>
      </c>
    </row>
    <row r="529" spans="11:17" x14ac:dyDescent="0.3">
      <c r="K529" t="s">
        <v>28</v>
      </c>
      <c r="L529">
        <v>40.671320000000001</v>
      </c>
      <c r="M529">
        <v>22.938887000000001</v>
      </c>
      <c r="N529" t="s">
        <v>27</v>
      </c>
      <c r="O529" t="s">
        <v>21</v>
      </c>
      <c r="P529">
        <v>20</v>
      </c>
      <c r="Q529">
        <v>5</v>
      </c>
    </row>
    <row r="530" spans="11:17" x14ac:dyDescent="0.3">
      <c r="K530" t="s">
        <v>28</v>
      </c>
      <c r="L530">
        <v>40.671512999999997</v>
      </c>
      <c r="M530">
        <v>22.938949000000001</v>
      </c>
      <c r="N530" t="s">
        <v>27</v>
      </c>
      <c r="O530" t="s">
        <v>21</v>
      </c>
      <c r="P530">
        <v>20</v>
      </c>
      <c r="Q530">
        <v>5</v>
      </c>
    </row>
    <row r="531" spans="11:17" x14ac:dyDescent="0.3">
      <c r="K531" t="s">
        <v>28</v>
      </c>
      <c r="L531">
        <v>40.671971999999997</v>
      </c>
      <c r="M531">
        <v>22.939011000000001</v>
      </c>
      <c r="N531" t="s">
        <v>27</v>
      </c>
      <c r="O531" t="s">
        <v>21</v>
      </c>
      <c r="P531">
        <v>20</v>
      </c>
      <c r="Q531">
        <v>5</v>
      </c>
    </row>
    <row r="532" spans="11:17" x14ac:dyDescent="0.3">
      <c r="K532" t="s">
        <v>28</v>
      </c>
      <c r="L532">
        <v>40.672389000000003</v>
      </c>
      <c r="M532">
        <v>22.939014</v>
      </c>
      <c r="N532" t="s">
        <v>27</v>
      </c>
      <c r="O532" t="s">
        <v>21</v>
      </c>
      <c r="P532">
        <v>20</v>
      </c>
      <c r="Q532">
        <v>5</v>
      </c>
    </row>
    <row r="533" spans="11:17" x14ac:dyDescent="0.3">
      <c r="K533" t="s">
        <v>28</v>
      </c>
      <c r="L533">
        <v>40.672910999999999</v>
      </c>
      <c r="M533">
        <v>22.939005999999999</v>
      </c>
      <c r="N533" t="s">
        <v>27</v>
      </c>
      <c r="O533" t="s">
        <v>21</v>
      </c>
      <c r="P533">
        <v>20</v>
      </c>
      <c r="Q533">
        <v>5</v>
      </c>
    </row>
    <row r="534" spans="11:17" x14ac:dyDescent="0.3">
      <c r="K534" t="s">
        <v>28</v>
      </c>
      <c r="L534">
        <v>40.674067000000001</v>
      </c>
      <c r="M534">
        <v>22.938967999999999</v>
      </c>
      <c r="N534" t="s">
        <v>27</v>
      </c>
      <c r="O534" t="s">
        <v>21</v>
      </c>
      <c r="P534">
        <v>20</v>
      </c>
      <c r="Q534">
        <v>5</v>
      </c>
    </row>
    <row r="535" spans="11:17" x14ac:dyDescent="0.3">
      <c r="K535" t="s">
        <v>28</v>
      </c>
      <c r="L535">
        <v>40.674677000000003</v>
      </c>
      <c r="M535">
        <v>22.938939999999999</v>
      </c>
      <c r="N535" t="s">
        <v>27</v>
      </c>
      <c r="O535" t="s">
        <v>21</v>
      </c>
      <c r="P535">
        <v>20</v>
      </c>
      <c r="Q535">
        <v>5</v>
      </c>
    </row>
    <row r="536" spans="11:17" x14ac:dyDescent="0.3">
      <c r="K536" t="s">
        <v>28</v>
      </c>
      <c r="L536">
        <v>40.674843000000003</v>
      </c>
      <c r="M536">
        <v>22.938958</v>
      </c>
      <c r="N536" t="s">
        <v>27</v>
      </c>
      <c r="O536" t="s">
        <v>21</v>
      </c>
      <c r="P536">
        <v>20</v>
      </c>
      <c r="Q536">
        <v>5</v>
      </c>
    </row>
    <row r="537" spans="11:17" x14ac:dyDescent="0.3">
      <c r="K537" t="s">
        <v>28</v>
      </c>
      <c r="L537">
        <v>40.675530000000002</v>
      </c>
      <c r="M537">
        <v>22.938946000000001</v>
      </c>
      <c r="N537" t="s">
        <v>27</v>
      </c>
      <c r="O537" t="s">
        <v>21</v>
      </c>
      <c r="P537">
        <v>20</v>
      </c>
      <c r="Q537">
        <v>5</v>
      </c>
    </row>
    <row r="538" spans="11:17" x14ac:dyDescent="0.3">
      <c r="K538" t="s">
        <v>28</v>
      </c>
      <c r="L538">
        <v>40.676425999999999</v>
      </c>
      <c r="M538">
        <v>22.938980000000001</v>
      </c>
      <c r="N538" t="s">
        <v>27</v>
      </c>
      <c r="O538" t="s">
        <v>21</v>
      </c>
      <c r="P538">
        <v>20</v>
      </c>
      <c r="Q538">
        <v>5</v>
      </c>
    </row>
    <row r="539" spans="11:17" x14ac:dyDescent="0.3">
      <c r="K539" t="s">
        <v>28</v>
      </c>
      <c r="L539">
        <v>40.677213999999999</v>
      </c>
      <c r="M539">
        <v>22.939029000000001</v>
      </c>
      <c r="N539" t="s">
        <v>27</v>
      </c>
      <c r="O539" t="s">
        <v>21</v>
      </c>
      <c r="P539">
        <v>20</v>
      </c>
      <c r="Q539">
        <v>5</v>
      </c>
    </row>
    <row r="540" spans="11:17" x14ac:dyDescent="0.3">
      <c r="K540" t="s">
        <v>28</v>
      </c>
      <c r="L540">
        <v>40.677339000000003</v>
      </c>
      <c r="M540">
        <v>22.939094999999998</v>
      </c>
      <c r="N540" t="s">
        <v>27</v>
      </c>
      <c r="O540" t="s">
        <v>21</v>
      </c>
      <c r="P540">
        <v>20</v>
      </c>
      <c r="Q540">
        <v>5</v>
      </c>
    </row>
    <row r="541" spans="11:17" x14ac:dyDescent="0.3">
      <c r="K541" t="s">
        <v>28</v>
      </c>
      <c r="L541">
        <v>40.677430000000001</v>
      </c>
      <c r="M541">
        <v>22.939257000000001</v>
      </c>
      <c r="N541" t="s">
        <v>27</v>
      </c>
      <c r="O541" t="s">
        <v>21</v>
      </c>
      <c r="P541">
        <v>20</v>
      </c>
      <c r="Q541">
        <v>5</v>
      </c>
    </row>
    <row r="542" spans="11:17" x14ac:dyDescent="0.3">
      <c r="K542" t="s">
        <v>28</v>
      </c>
      <c r="L542">
        <v>40.677608999999997</v>
      </c>
      <c r="M542">
        <v>22.939952000000002</v>
      </c>
      <c r="N542" t="s">
        <v>27</v>
      </c>
      <c r="O542" t="s">
        <v>21</v>
      </c>
      <c r="P542">
        <v>20</v>
      </c>
      <c r="Q542">
        <v>5</v>
      </c>
    </row>
    <row r="543" spans="11:17" x14ac:dyDescent="0.3">
      <c r="K543" t="s">
        <v>28</v>
      </c>
      <c r="L543">
        <v>40.678035999999999</v>
      </c>
      <c r="M543">
        <v>22.94126</v>
      </c>
      <c r="N543" t="s">
        <v>27</v>
      </c>
      <c r="O543" t="s">
        <v>21</v>
      </c>
      <c r="P543">
        <v>20</v>
      </c>
      <c r="Q543">
        <v>5</v>
      </c>
    </row>
    <row r="544" spans="11:17" x14ac:dyDescent="0.3">
      <c r="K544" t="s">
        <v>28</v>
      </c>
      <c r="L544">
        <v>40.678362</v>
      </c>
      <c r="M544">
        <v>22.942038</v>
      </c>
      <c r="N544" t="s">
        <v>27</v>
      </c>
      <c r="O544" t="s">
        <v>21</v>
      </c>
      <c r="P544">
        <v>20</v>
      </c>
      <c r="Q544">
        <v>5</v>
      </c>
    </row>
    <row r="545" spans="11:17" x14ac:dyDescent="0.3">
      <c r="K545" t="s">
        <v>28</v>
      </c>
      <c r="L545">
        <v>40.678711</v>
      </c>
      <c r="M545">
        <v>22.942754000000001</v>
      </c>
      <c r="N545" t="s">
        <v>27</v>
      </c>
      <c r="O545" t="s">
        <v>21</v>
      </c>
      <c r="P545">
        <v>20</v>
      </c>
      <c r="Q545">
        <v>5</v>
      </c>
    </row>
    <row r="546" spans="11:17" x14ac:dyDescent="0.3">
      <c r="K546" t="s">
        <v>28</v>
      </c>
      <c r="L546">
        <v>40.678885999999999</v>
      </c>
      <c r="M546">
        <v>22.943048999999998</v>
      </c>
      <c r="N546" t="s">
        <v>27</v>
      </c>
      <c r="O546" t="s">
        <v>21</v>
      </c>
      <c r="P546">
        <v>20</v>
      </c>
      <c r="Q546">
        <v>5</v>
      </c>
    </row>
    <row r="547" spans="11:17" x14ac:dyDescent="0.3">
      <c r="K547" t="s">
        <v>28</v>
      </c>
      <c r="L547">
        <v>40.678924000000002</v>
      </c>
      <c r="M547">
        <v>22.943090000000002</v>
      </c>
      <c r="N547" t="s">
        <v>27</v>
      </c>
      <c r="O547" t="s">
        <v>21</v>
      </c>
      <c r="P547">
        <v>20</v>
      </c>
      <c r="Q547">
        <v>5</v>
      </c>
    </row>
    <row r="548" spans="11:17" x14ac:dyDescent="0.3">
      <c r="K548" t="s">
        <v>28</v>
      </c>
      <c r="L548">
        <v>40.679220999999998</v>
      </c>
      <c r="M548">
        <v>22.943677999999998</v>
      </c>
      <c r="N548" t="s">
        <v>27</v>
      </c>
      <c r="O548" t="s">
        <v>21</v>
      </c>
      <c r="P548">
        <v>20</v>
      </c>
      <c r="Q548">
        <v>5</v>
      </c>
    </row>
    <row r="549" spans="11:17" x14ac:dyDescent="0.3">
      <c r="K549" t="s">
        <v>28</v>
      </c>
      <c r="L549">
        <v>40.679502999999997</v>
      </c>
      <c r="M549">
        <v>22.944186999999999</v>
      </c>
      <c r="N549" t="s">
        <v>27</v>
      </c>
      <c r="O549" t="s">
        <v>21</v>
      </c>
      <c r="P549">
        <v>20</v>
      </c>
      <c r="Q549">
        <v>5</v>
      </c>
    </row>
    <row r="550" spans="11:17" x14ac:dyDescent="0.3">
      <c r="K550" t="s">
        <v>28</v>
      </c>
      <c r="L550">
        <v>40.679724999999998</v>
      </c>
      <c r="M550">
        <v>22.944789</v>
      </c>
      <c r="N550" t="s">
        <v>27</v>
      </c>
      <c r="O550" t="s">
        <v>21</v>
      </c>
      <c r="P550">
        <v>20</v>
      </c>
      <c r="Q550">
        <v>5</v>
      </c>
    </row>
    <row r="551" spans="11:17" x14ac:dyDescent="0.3">
      <c r="K551" t="s">
        <v>28</v>
      </c>
      <c r="L551">
        <v>40.679898999999999</v>
      </c>
      <c r="M551">
        <v>22.945376</v>
      </c>
      <c r="N551" t="s">
        <v>27</v>
      </c>
      <c r="O551" t="s">
        <v>21</v>
      </c>
      <c r="P551">
        <v>20</v>
      </c>
      <c r="Q551">
        <v>5</v>
      </c>
    </row>
    <row r="552" spans="11:17" x14ac:dyDescent="0.3">
      <c r="K552" t="s">
        <v>28</v>
      </c>
      <c r="L552">
        <v>40.679983999999997</v>
      </c>
      <c r="M552">
        <v>22.945712</v>
      </c>
      <c r="N552" t="s">
        <v>27</v>
      </c>
      <c r="O552" t="s">
        <v>21</v>
      </c>
      <c r="P552">
        <v>20</v>
      </c>
      <c r="Q552">
        <v>5</v>
      </c>
    </row>
    <row r="553" spans="11:17" x14ac:dyDescent="0.3">
      <c r="K553" t="s">
        <v>28</v>
      </c>
      <c r="L553">
        <v>40.680050999999999</v>
      </c>
      <c r="M553">
        <v>22.946079000000001</v>
      </c>
      <c r="N553" t="s">
        <v>27</v>
      </c>
      <c r="O553" t="s">
        <v>21</v>
      </c>
      <c r="P553">
        <v>20</v>
      </c>
      <c r="Q553">
        <v>5</v>
      </c>
    </row>
    <row r="554" spans="11:17" x14ac:dyDescent="0.3">
      <c r="K554" t="s">
        <v>28</v>
      </c>
      <c r="L554">
        <v>40.680101000000001</v>
      </c>
      <c r="M554">
        <v>22.946273000000001</v>
      </c>
      <c r="N554" t="s">
        <v>27</v>
      </c>
      <c r="O554" t="s">
        <v>21</v>
      </c>
      <c r="P554">
        <v>20</v>
      </c>
      <c r="Q554">
        <v>5</v>
      </c>
    </row>
    <row r="555" spans="11:17" x14ac:dyDescent="0.3">
      <c r="K555" t="s">
        <v>28</v>
      </c>
      <c r="L555">
        <v>40.680112000000001</v>
      </c>
      <c r="M555">
        <v>22.946525000000001</v>
      </c>
      <c r="N555" t="s">
        <v>27</v>
      </c>
      <c r="O555" t="s">
        <v>21</v>
      </c>
      <c r="P555">
        <v>20</v>
      </c>
      <c r="Q555">
        <v>5</v>
      </c>
    </row>
    <row r="556" spans="11:17" x14ac:dyDescent="0.3">
      <c r="K556" t="s">
        <v>28</v>
      </c>
      <c r="L556">
        <v>40.680056</v>
      </c>
      <c r="M556">
        <v>22.946625999999998</v>
      </c>
      <c r="N556" t="s">
        <v>27</v>
      </c>
      <c r="O556" t="s">
        <v>21</v>
      </c>
      <c r="P556">
        <v>20</v>
      </c>
      <c r="Q556">
        <v>5</v>
      </c>
    </row>
    <row r="557" spans="11:17" x14ac:dyDescent="0.3">
      <c r="K557" t="s">
        <v>28</v>
      </c>
      <c r="L557">
        <v>40.680036999999999</v>
      </c>
      <c r="M557">
        <v>22.946729000000001</v>
      </c>
      <c r="N557" t="s">
        <v>27</v>
      </c>
      <c r="O557" t="s">
        <v>21</v>
      </c>
      <c r="P557">
        <v>20</v>
      </c>
      <c r="Q557">
        <v>5</v>
      </c>
    </row>
    <row r="558" spans="11:17" x14ac:dyDescent="0.3">
      <c r="K558" t="s">
        <v>28</v>
      </c>
      <c r="L558">
        <v>40.680048999999997</v>
      </c>
      <c r="M558">
        <v>22.946849</v>
      </c>
      <c r="N558" t="s">
        <v>27</v>
      </c>
      <c r="O558" t="s">
        <v>21</v>
      </c>
      <c r="P558">
        <v>20</v>
      </c>
      <c r="Q558">
        <v>5</v>
      </c>
    </row>
    <row r="559" spans="11:17" x14ac:dyDescent="0.3">
      <c r="K559" t="s">
        <v>28</v>
      </c>
      <c r="L559">
        <v>40.680084999999998</v>
      </c>
      <c r="M559">
        <v>22.946935</v>
      </c>
      <c r="N559" t="s">
        <v>27</v>
      </c>
      <c r="O559" t="s">
        <v>21</v>
      </c>
      <c r="P559">
        <v>20</v>
      </c>
      <c r="Q559">
        <v>5</v>
      </c>
    </row>
    <row r="560" spans="11:17" x14ac:dyDescent="0.3">
      <c r="K560" t="s">
        <v>28</v>
      </c>
      <c r="L560">
        <v>40.680140999999999</v>
      </c>
      <c r="M560">
        <v>22.946999999999999</v>
      </c>
      <c r="N560" t="s">
        <v>27</v>
      </c>
      <c r="O560" t="s">
        <v>21</v>
      </c>
      <c r="P560">
        <v>20</v>
      </c>
      <c r="Q560">
        <v>5</v>
      </c>
    </row>
    <row r="561" spans="11:17" x14ac:dyDescent="0.3">
      <c r="K561" t="s">
        <v>28</v>
      </c>
      <c r="L561">
        <v>40.680208999999998</v>
      </c>
      <c r="M561">
        <v>22.947037999999999</v>
      </c>
      <c r="N561" t="s">
        <v>27</v>
      </c>
      <c r="O561" t="s">
        <v>21</v>
      </c>
      <c r="P561">
        <v>20</v>
      </c>
      <c r="Q561">
        <v>5</v>
      </c>
    </row>
    <row r="562" spans="11:17" x14ac:dyDescent="0.3">
      <c r="K562" t="s">
        <v>28</v>
      </c>
      <c r="L562">
        <v>40.680284</v>
      </c>
      <c r="M562">
        <v>22.947044999999999</v>
      </c>
      <c r="N562" t="s">
        <v>27</v>
      </c>
      <c r="O562" t="s">
        <v>21</v>
      </c>
      <c r="P562">
        <v>20</v>
      </c>
      <c r="Q562">
        <v>5</v>
      </c>
    </row>
    <row r="563" spans="11:17" x14ac:dyDescent="0.3">
      <c r="K563" t="s">
        <v>28</v>
      </c>
      <c r="L563">
        <v>40.680356000000003</v>
      </c>
      <c r="M563">
        <v>22.947019999999998</v>
      </c>
      <c r="N563" t="s">
        <v>27</v>
      </c>
      <c r="O563" t="s">
        <v>21</v>
      </c>
      <c r="P563">
        <v>20</v>
      </c>
      <c r="Q563">
        <v>5</v>
      </c>
    </row>
    <row r="564" spans="11:17" x14ac:dyDescent="0.3">
      <c r="K564" t="s">
        <v>28</v>
      </c>
      <c r="L564">
        <v>40.680416999999998</v>
      </c>
      <c r="M564">
        <v>22.946964999999999</v>
      </c>
      <c r="N564" t="s">
        <v>27</v>
      </c>
      <c r="O564" t="s">
        <v>21</v>
      </c>
      <c r="P564">
        <v>20</v>
      </c>
      <c r="Q564">
        <v>5</v>
      </c>
    </row>
    <row r="565" spans="11:17" x14ac:dyDescent="0.3">
      <c r="K565" t="s">
        <v>28</v>
      </c>
      <c r="L565">
        <v>40.680461999999999</v>
      </c>
      <c r="M565">
        <v>22.946887</v>
      </c>
      <c r="N565" t="s">
        <v>27</v>
      </c>
      <c r="O565" t="s">
        <v>21</v>
      </c>
      <c r="P565">
        <v>20</v>
      </c>
      <c r="Q565">
        <v>5</v>
      </c>
    </row>
    <row r="566" spans="11:17" x14ac:dyDescent="0.3">
      <c r="K566" t="s">
        <v>28</v>
      </c>
      <c r="L566">
        <v>40.680484999999997</v>
      </c>
      <c r="M566">
        <v>22.946793</v>
      </c>
      <c r="N566" t="s">
        <v>27</v>
      </c>
      <c r="O566" t="s">
        <v>21</v>
      </c>
      <c r="P566">
        <v>20</v>
      </c>
      <c r="Q566">
        <v>5</v>
      </c>
    </row>
    <row r="567" spans="11:17" x14ac:dyDescent="0.3">
      <c r="K567" t="s">
        <v>28</v>
      </c>
      <c r="L567">
        <v>40.680484</v>
      </c>
      <c r="M567">
        <v>22.946695999999999</v>
      </c>
      <c r="N567" t="s">
        <v>27</v>
      </c>
      <c r="O567" t="s">
        <v>21</v>
      </c>
      <c r="P567">
        <v>20</v>
      </c>
      <c r="Q567">
        <v>5</v>
      </c>
    </row>
    <row r="568" spans="11:17" x14ac:dyDescent="0.3">
      <c r="K568" t="s">
        <v>28</v>
      </c>
      <c r="L568">
        <v>40.680458999999999</v>
      </c>
      <c r="M568">
        <v>22.946603</v>
      </c>
      <c r="N568" t="s">
        <v>27</v>
      </c>
      <c r="O568" t="s">
        <v>21</v>
      </c>
      <c r="P568">
        <v>20</v>
      </c>
      <c r="Q568">
        <v>5</v>
      </c>
    </row>
    <row r="569" spans="11:17" x14ac:dyDescent="0.3">
      <c r="K569" t="s">
        <v>28</v>
      </c>
      <c r="L569">
        <v>40.680413000000001</v>
      </c>
      <c r="M569">
        <v>22.946527</v>
      </c>
      <c r="N569" t="s">
        <v>27</v>
      </c>
      <c r="O569" t="s">
        <v>21</v>
      </c>
      <c r="P569">
        <v>20</v>
      </c>
      <c r="Q569">
        <v>5</v>
      </c>
    </row>
    <row r="570" spans="11:17" x14ac:dyDescent="0.3">
      <c r="K570" t="s">
        <v>28</v>
      </c>
      <c r="L570">
        <v>40.680368000000001</v>
      </c>
      <c r="M570">
        <v>22.946375</v>
      </c>
      <c r="N570" t="s">
        <v>27</v>
      </c>
      <c r="O570" t="s">
        <v>21</v>
      </c>
      <c r="P570">
        <v>20</v>
      </c>
      <c r="Q570">
        <v>5</v>
      </c>
    </row>
    <row r="571" spans="11:17" x14ac:dyDescent="0.3">
      <c r="K571" t="s">
        <v>28</v>
      </c>
      <c r="L571">
        <v>40.680354000000001</v>
      </c>
      <c r="M571">
        <v>22.946273000000001</v>
      </c>
      <c r="N571" t="s">
        <v>27</v>
      </c>
      <c r="O571" t="s">
        <v>21</v>
      </c>
      <c r="P571">
        <v>20</v>
      </c>
      <c r="Q571">
        <v>5</v>
      </c>
    </row>
    <row r="572" spans="11:17" x14ac:dyDescent="0.3">
      <c r="K572" t="s">
        <v>28</v>
      </c>
      <c r="L572">
        <v>40.680216999999999</v>
      </c>
      <c r="M572">
        <v>22.945473</v>
      </c>
      <c r="N572" t="s">
        <v>27</v>
      </c>
      <c r="O572" t="s">
        <v>21</v>
      </c>
      <c r="P572">
        <v>20</v>
      </c>
      <c r="Q572">
        <v>5</v>
      </c>
    </row>
    <row r="573" spans="11:17" x14ac:dyDescent="0.3">
      <c r="K573" t="s">
        <v>28</v>
      </c>
      <c r="L573">
        <v>40.680031999999997</v>
      </c>
      <c r="M573">
        <v>22.94472</v>
      </c>
      <c r="N573" t="s">
        <v>27</v>
      </c>
      <c r="O573" t="s">
        <v>21</v>
      </c>
      <c r="P573">
        <v>20</v>
      </c>
      <c r="Q573">
        <v>5</v>
      </c>
    </row>
    <row r="574" spans="11:17" x14ac:dyDescent="0.3">
      <c r="K574" t="s">
        <v>28</v>
      </c>
      <c r="L574">
        <v>40.679971999999999</v>
      </c>
      <c r="M574">
        <v>22.944537</v>
      </c>
      <c r="N574" t="s">
        <v>27</v>
      </c>
      <c r="O574" t="s">
        <v>21</v>
      </c>
      <c r="P574">
        <v>20</v>
      </c>
      <c r="Q574">
        <v>5</v>
      </c>
    </row>
    <row r="575" spans="11:17" x14ac:dyDescent="0.3">
      <c r="K575" t="s">
        <v>28</v>
      </c>
      <c r="L575">
        <v>40.679853999999999</v>
      </c>
      <c r="M575">
        <v>22.944300999999999</v>
      </c>
      <c r="N575" t="s">
        <v>27</v>
      </c>
      <c r="O575" t="s">
        <v>21</v>
      </c>
      <c r="P575">
        <v>20</v>
      </c>
      <c r="Q575">
        <v>5</v>
      </c>
    </row>
    <row r="576" spans="11:17" x14ac:dyDescent="0.3">
      <c r="K576" t="s">
        <v>28</v>
      </c>
      <c r="L576">
        <v>40.679749000000001</v>
      </c>
      <c r="M576">
        <v>22.944137999999999</v>
      </c>
      <c r="N576" t="s">
        <v>27</v>
      </c>
      <c r="O576" t="s">
        <v>21</v>
      </c>
      <c r="P576">
        <v>20</v>
      </c>
      <c r="Q576">
        <v>5</v>
      </c>
    </row>
    <row r="577" spans="11:17" x14ac:dyDescent="0.3">
      <c r="K577" t="s">
        <v>28</v>
      </c>
      <c r="L577">
        <v>40.679419000000003</v>
      </c>
      <c r="M577">
        <v>22.943476</v>
      </c>
      <c r="N577" t="s">
        <v>27</v>
      </c>
      <c r="O577" t="s">
        <v>21</v>
      </c>
      <c r="P577">
        <v>20</v>
      </c>
      <c r="Q577">
        <v>5</v>
      </c>
    </row>
    <row r="578" spans="11:17" x14ac:dyDescent="0.3">
      <c r="K578" t="s">
        <v>28</v>
      </c>
      <c r="L578">
        <v>40.679203999999999</v>
      </c>
      <c r="M578">
        <v>22.943078</v>
      </c>
      <c r="N578" t="s">
        <v>27</v>
      </c>
      <c r="O578" t="s">
        <v>21</v>
      </c>
      <c r="P578">
        <v>20</v>
      </c>
      <c r="Q578">
        <v>5</v>
      </c>
    </row>
    <row r="579" spans="11:17" x14ac:dyDescent="0.3">
      <c r="K579" t="s">
        <v>28</v>
      </c>
      <c r="L579">
        <v>40.679045000000002</v>
      </c>
      <c r="M579">
        <v>22.942805</v>
      </c>
      <c r="N579" t="s">
        <v>27</v>
      </c>
      <c r="O579" t="s">
        <v>21</v>
      </c>
      <c r="P579">
        <v>20</v>
      </c>
      <c r="Q579">
        <v>5</v>
      </c>
    </row>
    <row r="580" spans="11:17" x14ac:dyDescent="0.3">
      <c r="K580" t="s">
        <v>28</v>
      </c>
      <c r="L580">
        <v>40.678851999999999</v>
      </c>
      <c r="M580">
        <v>22.942563</v>
      </c>
      <c r="N580" t="s">
        <v>27</v>
      </c>
      <c r="O580" t="s">
        <v>21</v>
      </c>
      <c r="P580">
        <v>20</v>
      </c>
      <c r="Q580">
        <v>5</v>
      </c>
    </row>
    <row r="581" spans="11:17" x14ac:dyDescent="0.3">
      <c r="K581" t="s">
        <v>28</v>
      </c>
      <c r="L581">
        <v>40.678753</v>
      </c>
      <c r="M581">
        <v>22.942364999999999</v>
      </c>
      <c r="N581" t="s">
        <v>27</v>
      </c>
      <c r="O581" t="s">
        <v>21</v>
      </c>
      <c r="P581">
        <v>20</v>
      </c>
      <c r="Q581">
        <v>5</v>
      </c>
    </row>
    <row r="582" spans="11:17" x14ac:dyDescent="0.3">
      <c r="K582" t="s">
        <v>28</v>
      </c>
      <c r="L582">
        <v>40.678187000000001</v>
      </c>
      <c r="M582">
        <v>22.941179000000002</v>
      </c>
      <c r="N582" t="s">
        <v>27</v>
      </c>
      <c r="O582" t="s">
        <v>21</v>
      </c>
      <c r="P582">
        <v>20</v>
      </c>
      <c r="Q582">
        <v>5</v>
      </c>
    </row>
    <row r="583" spans="11:17" x14ac:dyDescent="0.3">
      <c r="K583" t="s">
        <v>28</v>
      </c>
      <c r="L583">
        <v>40.677861999999998</v>
      </c>
      <c r="M583">
        <v>22.940339000000002</v>
      </c>
      <c r="N583" t="s">
        <v>27</v>
      </c>
      <c r="O583" t="s">
        <v>21</v>
      </c>
      <c r="P583">
        <v>20</v>
      </c>
      <c r="Q583">
        <v>5</v>
      </c>
    </row>
    <row r="584" spans="11:17" x14ac:dyDescent="0.3">
      <c r="K584" t="s">
        <v>28</v>
      </c>
      <c r="L584">
        <v>40.677697000000002</v>
      </c>
      <c r="M584">
        <v>22.939826</v>
      </c>
      <c r="N584" t="s">
        <v>27</v>
      </c>
      <c r="O584" t="s">
        <v>21</v>
      </c>
      <c r="P584">
        <v>20</v>
      </c>
      <c r="Q584">
        <v>5</v>
      </c>
    </row>
    <row r="585" spans="11:17" x14ac:dyDescent="0.3">
      <c r="K585" t="s">
        <v>28</v>
      </c>
      <c r="L585">
        <v>40.677579999999999</v>
      </c>
      <c r="M585">
        <v>22.939401</v>
      </c>
      <c r="N585" t="s">
        <v>27</v>
      </c>
      <c r="O585" t="s">
        <v>21</v>
      </c>
      <c r="P585">
        <v>20</v>
      </c>
      <c r="Q585">
        <v>5</v>
      </c>
    </row>
    <row r="586" spans="11:17" x14ac:dyDescent="0.3">
      <c r="K586" t="s">
        <v>28</v>
      </c>
      <c r="L586">
        <v>40.677411999999997</v>
      </c>
      <c r="M586">
        <v>22.938628999999999</v>
      </c>
      <c r="N586" t="s">
        <v>27</v>
      </c>
      <c r="O586" t="s">
        <v>21</v>
      </c>
      <c r="P586">
        <v>20</v>
      </c>
      <c r="Q586">
        <v>5</v>
      </c>
    </row>
    <row r="587" spans="11:17" x14ac:dyDescent="0.3">
      <c r="K587" t="s">
        <v>28</v>
      </c>
      <c r="L587">
        <v>40.669091999999999</v>
      </c>
      <c r="M587">
        <v>22.935068000000001</v>
      </c>
      <c r="N587" t="s">
        <v>27</v>
      </c>
      <c r="O587" t="s">
        <v>22</v>
      </c>
      <c r="P587">
        <v>10</v>
      </c>
      <c r="Q587">
        <v>5</v>
      </c>
    </row>
    <row r="588" spans="11:17" x14ac:dyDescent="0.3">
      <c r="K588" t="s">
        <v>28</v>
      </c>
      <c r="L588">
        <v>40.669280000000001</v>
      </c>
      <c r="M588">
        <v>22.935155000000002</v>
      </c>
      <c r="N588" t="s">
        <v>27</v>
      </c>
      <c r="O588" t="s">
        <v>22</v>
      </c>
      <c r="P588">
        <v>10</v>
      </c>
      <c r="Q588">
        <v>5</v>
      </c>
    </row>
    <row r="589" spans="11:17" x14ac:dyDescent="0.3">
      <c r="K589" t="s">
        <v>28</v>
      </c>
      <c r="L589">
        <v>40.669241</v>
      </c>
      <c r="M589">
        <v>22.935576999999999</v>
      </c>
      <c r="N589" t="s">
        <v>27</v>
      </c>
      <c r="O589" t="s">
        <v>22</v>
      </c>
      <c r="P589">
        <v>10</v>
      </c>
      <c r="Q589">
        <v>5</v>
      </c>
    </row>
    <row r="590" spans="11:17" x14ac:dyDescent="0.3">
      <c r="K590" t="s">
        <v>28</v>
      </c>
      <c r="L590">
        <v>40.669223000000002</v>
      </c>
      <c r="M590">
        <v>22.935787000000001</v>
      </c>
      <c r="N590" t="s">
        <v>27</v>
      </c>
      <c r="O590" t="s">
        <v>22</v>
      </c>
      <c r="P590">
        <v>10</v>
      </c>
      <c r="Q590">
        <v>5</v>
      </c>
    </row>
    <row r="591" spans="11:17" x14ac:dyDescent="0.3">
      <c r="K591" t="s">
        <v>28</v>
      </c>
      <c r="L591">
        <v>40.669148999999997</v>
      </c>
      <c r="M591">
        <v>22.935762</v>
      </c>
      <c r="N591" t="s">
        <v>27</v>
      </c>
      <c r="O591" t="s">
        <v>22</v>
      </c>
      <c r="P591">
        <v>10</v>
      </c>
      <c r="Q591">
        <v>5</v>
      </c>
    </row>
    <row r="592" spans="11:17" x14ac:dyDescent="0.3">
      <c r="K592" t="s">
        <v>28</v>
      </c>
      <c r="L592">
        <v>40.669015000000002</v>
      </c>
      <c r="M592">
        <v>22.935751</v>
      </c>
      <c r="N592" t="s">
        <v>27</v>
      </c>
      <c r="O592" t="s">
        <v>22</v>
      </c>
      <c r="P592">
        <v>10</v>
      </c>
      <c r="Q592">
        <v>5</v>
      </c>
    </row>
    <row r="593" spans="11:17" x14ac:dyDescent="0.3">
      <c r="K593" t="s">
        <v>28</v>
      </c>
      <c r="L593">
        <v>40.668992000000003</v>
      </c>
      <c r="M593">
        <v>22.935801000000001</v>
      </c>
      <c r="N593" t="s">
        <v>27</v>
      </c>
      <c r="O593" t="s">
        <v>22</v>
      </c>
      <c r="P593">
        <v>10</v>
      </c>
      <c r="Q593">
        <v>5</v>
      </c>
    </row>
    <row r="594" spans="11:17" x14ac:dyDescent="0.3">
      <c r="K594" t="s">
        <v>28</v>
      </c>
      <c r="L594">
        <v>40.668961000000003</v>
      </c>
      <c r="M594">
        <v>22.936105999999999</v>
      </c>
      <c r="N594" t="s">
        <v>27</v>
      </c>
      <c r="O594" t="s">
        <v>22</v>
      </c>
      <c r="P594">
        <v>10</v>
      </c>
      <c r="Q594">
        <v>5</v>
      </c>
    </row>
    <row r="595" spans="11:17" x14ac:dyDescent="0.3">
      <c r="K595" t="s">
        <v>28</v>
      </c>
      <c r="L595">
        <v>40.668903</v>
      </c>
      <c r="M595">
        <v>22.936696000000001</v>
      </c>
      <c r="N595" t="s">
        <v>27</v>
      </c>
      <c r="O595" t="s">
        <v>22</v>
      </c>
      <c r="P595">
        <v>10</v>
      </c>
      <c r="Q595">
        <v>5</v>
      </c>
    </row>
    <row r="596" spans="11:17" x14ac:dyDescent="0.3">
      <c r="K596" t="s">
        <v>28</v>
      </c>
      <c r="L596">
        <v>40.668886000000001</v>
      </c>
      <c r="M596">
        <v>22.936743</v>
      </c>
      <c r="N596" t="s">
        <v>27</v>
      </c>
      <c r="O596" t="s">
        <v>22</v>
      </c>
      <c r="P596">
        <v>10</v>
      </c>
      <c r="Q596">
        <v>5</v>
      </c>
    </row>
    <row r="597" spans="11:17" x14ac:dyDescent="0.3">
      <c r="K597" t="s">
        <v>28</v>
      </c>
      <c r="L597">
        <v>40.668840000000003</v>
      </c>
      <c r="M597">
        <v>22.936796000000001</v>
      </c>
      <c r="N597" t="s">
        <v>27</v>
      </c>
      <c r="O597" t="s">
        <v>22</v>
      </c>
      <c r="P597">
        <v>10</v>
      </c>
      <c r="Q597">
        <v>5</v>
      </c>
    </row>
    <row r="598" spans="11:17" x14ac:dyDescent="0.3">
      <c r="K598" t="s">
        <v>28</v>
      </c>
      <c r="L598">
        <v>40.668632000000002</v>
      </c>
      <c r="M598">
        <v>22.936955000000001</v>
      </c>
      <c r="N598" t="s">
        <v>27</v>
      </c>
      <c r="O598" t="s">
        <v>22</v>
      </c>
      <c r="P598">
        <v>10</v>
      </c>
      <c r="Q598">
        <v>5</v>
      </c>
    </row>
    <row r="599" spans="11:17" x14ac:dyDescent="0.3">
      <c r="K599" t="s">
        <v>28</v>
      </c>
      <c r="L599">
        <v>40.668590999999999</v>
      </c>
      <c r="M599">
        <v>22.937038999999999</v>
      </c>
      <c r="N599" t="s">
        <v>27</v>
      </c>
      <c r="O599" t="s">
        <v>22</v>
      </c>
      <c r="P599">
        <v>10</v>
      </c>
      <c r="Q599">
        <v>5</v>
      </c>
    </row>
    <row r="600" spans="11:17" x14ac:dyDescent="0.3">
      <c r="K600" t="s">
        <v>28</v>
      </c>
      <c r="L600">
        <v>40.668520000000001</v>
      </c>
      <c r="M600">
        <v>22.937260999999999</v>
      </c>
      <c r="N600" t="s">
        <v>27</v>
      </c>
      <c r="O600" t="s">
        <v>22</v>
      </c>
      <c r="P600">
        <v>10</v>
      </c>
      <c r="Q600">
        <v>5</v>
      </c>
    </row>
    <row r="601" spans="11:17" x14ac:dyDescent="0.3">
      <c r="K601" t="s">
        <v>28</v>
      </c>
      <c r="L601">
        <v>40.668478</v>
      </c>
      <c r="M601">
        <v>22.937546000000001</v>
      </c>
      <c r="N601" t="s">
        <v>27</v>
      </c>
      <c r="O601" t="s">
        <v>22</v>
      </c>
      <c r="P601">
        <v>10</v>
      </c>
      <c r="Q601">
        <v>5</v>
      </c>
    </row>
    <row r="602" spans="11:17" x14ac:dyDescent="0.3">
      <c r="K602" t="s">
        <v>28</v>
      </c>
      <c r="L602">
        <v>40.668464</v>
      </c>
      <c r="M602">
        <v>22.937569</v>
      </c>
      <c r="N602" t="s">
        <v>27</v>
      </c>
      <c r="O602" t="s">
        <v>22</v>
      </c>
      <c r="P602">
        <v>10</v>
      </c>
      <c r="Q602">
        <v>5</v>
      </c>
    </row>
    <row r="603" spans="11:17" x14ac:dyDescent="0.3">
      <c r="K603" t="s">
        <v>28</v>
      </c>
      <c r="L603">
        <v>40.668129999999998</v>
      </c>
      <c r="M603">
        <v>22.937452</v>
      </c>
      <c r="N603" t="s">
        <v>27</v>
      </c>
      <c r="O603" t="s">
        <v>22</v>
      </c>
      <c r="P603">
        <v>10</v>
      </c>
      <c r="Q603">
        <v>5</v>
      </c>
    </row>
    <row r="604" spans="11:17" x14ac:dyDescent="0.3">
      <c r="K604" t="s">
        <v>28</v>
      </c>
      <c r="L604">
        <v>40.668107999999997</v>
      </c>
      <c r="M604">
        <v>22.937557000000002</v>
      </c>
      <c r="N604" t="s">
        <v>27</v>
      </c>
      <c r="O604" t="s">
        <v>22</v>
      </c>
      <c r="P604">
        <v>10</v>
      </c>
      <c r="Q604">
        <v>5</v>
      </c>
    </row>
    <row r="605" spans="11:17" x14ac:dyDescent="0.3">
      <c r="K605" t="s">
        <v>28</v>
      </c>
      <c r="L605">
        <v>40.668067999999998</v>
      </c>
      <c r="M605">
        <v>22.937740000000002</v>
      </c>
      <c r="N605" t="s">
        <v>27</v>
      </c>
      <c r="O605" t="s">
        <v>22</v>
      </c>
      <c r="P605">
        <v>10</v>
      </c>
      <c r="Q605">
        <v>5</v>
      </c>
    </row>
    <row r="606" spans="11:17" x14ac:dyDescent="0.3">
      <c r="K606" t="s">
        <v>28</v>
      </c>
      <c r="L606">
        <v>40.670605000000002</v>
      </c>
      <c r="M606">
        <v>22.938638000000001</v>
      </c>
      <c r="N606" t="s">
        <v>27</v>
      </c>
      <c r="O606" t="s">
        <v>22</v>
      </c>
      <c r="P606">
        <v>10</v>
      </c>
      <c r="Q606">
        <v>5</v>
      </c>
    </row>
    <row r="607" spans="11:17" x14ac:dyDescent="0.3">
      <c r="K607" t="s">
        <v>28</v>
      </c>
      <c r="L607">
        <v>40.671320000000001</v>
      </c>
      <c r="M607">
        <v>22.938887000000001</v>
      </c>
      <c r="N607" t="s">
        <v>27</v>
      </c>
      <c r="O607" t="s">
        <v>22</v>
      </c>
      <c r="P607">
        <v>10</v>
      </c>
      <c r="Q607">
        <v>5</v>
      </c>
    </row>
    <row r="608" spans="11:17" x14ac:dyDescent="0.3">
      <c r="K608" t="s">
        <v>28</v>
      </c>
      <c r="L608">
        <v>40.671512999999997</v>
      </c>
      <c r="M608">
        <v>22.938949000000001</v>
      </c>
      <c r="N608" t="s">
        <v>27</v>
      </c>
      <c r="O608" t="s">
        <v>22</v>
      </c>
      <c r="P608">
        <v>10</v>
      </c>
      <c r="Q608">
        <v>5</v>
      </c>
    </row>
    <row r="609" spans="11:17" x14ac:dyDescent="0.3">
      <c r="K609" t="s">
        <v>28</v>
      </c>
      <c r="L609">
        <v>40.671971999999997</v>
      </c>
      <c r="M609">
        <v>22.939011000000001</v>
      </c>
      <c r="N609" t="s">
        <v>27</v>
      </c>
      <c r="O609" t="s">
        <v>22</v>
      </c>
      <c r="P609">
        <v>10</v>
      </c>
      <c r="Q609">
        <v>5</v>
      </c>
    </row>
    <row r="610" spans="11:17" x14ac:dyDescent="0.3">
      <c r="K610" t="s">
        <v>28</v>
      </c>
      <c r="L610">
        <v>40.672389000000003</v>
      </c>
      <c r="M610">
        <v>22.939014</v>
      </c>
      <c r="N610" t="s">
        <v>27</v>
      </c>
      <c r="O610" t="s">
        <v>22</v>
      </c>
      <c r="P610">
        <v>10</v>
      </c>
      <c r="Q610">
        <v>5</v>
      </c>
    </row>
    <row r="611" spans="11:17" x14ac:dyDescent="0.3">
      <c r="K611" t="s">
        <v>28</v>
      </c>
      <c r="L611">
        <v>40.672910999999999</v>
      </c>
      <c r="M611">
        <v>22.939005999999999</v>
      </c>
      <c r="N611" t="s">
        <v>27</v>
      </c>
      <c r="O611" t="s">
        <v>22</v>
      </c>
      <c r="P611">
        <v>10</v>
      </c>
      <c r="Q611">
        <v>5</v>
      </c>
    </row>
    <row r="612" spans="11:17" x14ac:dyDescent="0.3">
      <c r="K612" t="s">
        <v>28</v>
      </c>
      <c r="L612">
        <v>40.674067000000001</v>
      </c>
      <c r="M612">
        <v>22.938967999999999</v>
      </c>
      <c r="N612" t="s">
        <v>27</v>
      </c>
      <c r="O612" t="s">
        <v>22</v>
      </c>
      <c r="P612">
        <v>10</v>
      </c>
      <c r="Q612">
        <v>5</v>
      </c>
    </row>
    <row r="613" spans="11:17" x14ac:dyDescent="0.3">
      <c r="K613" t="s">
        <v>28</v>
      </c>
      <c r="L613">
        <v>40.674677000000003</v>
      </c>
      <c r="M613">
        <v>22.938939999999999</v>
      </c>
      <c r="N613" t="s">
        <v>27</v>
      </c>
      <c r="O613" t="s">
        <v>22</v>
      </c>
      <c r="P613">
        <v>10</v>
      </c>
      <c r="Q613">
        <v>5</v>
      </c>
    </row>
    <row r="614" spans="11:17" x14ac:dyDescent="0.3">
      <c r="K614" t="s">
        <v>28</v>
      </c>
      <c r="L614">
        <v>40.674843000000003</v>
      </c>
      <c r="M614">
        <v>22.938958</v>
      </c>
      <c r="N614" t="s">
        <v>27</v>
      </c>
      <c r="O614" t="s">
        <v>22</v>
      </c>
      <c r="P614">
        <v>10</v>
      </c>
      <c r="Q614">
        <v>5</v>
      </c>
    </row>
    <row r="615" spans="11:17" x14ac:dyDescent="0.3">
      <c r="K615" t="s">
        <v>28</v>
      </c>
      <c r="L615">
        <v>40.675530000000002</v>
      </c>
      <c r="M615">
        <v>22.938946000000001</v>
      </c>
      <c r="N615" t="s">
        <v>27</v>
      </c>
      <c r="O615" t="s">
        <v>22</v>
      </c>
      <c r="P615">
        <v>10</v>
      </c>
      <c r="Q615">
        <v>5</v>
      </c>
    </row>
    <row r="616" spans="11:17" x14ac:dyDescent="0.3">
      <c r="K616" t="s">
        <v>28</v>
      </c>
      <c r="L616">
        <v>40.676425999999999</v>
      </c>
      <c r="M616">
        <v>22.938980000000001</v>
      </c>
      <c r="N616" t="s">
        <v>27</v>
      </c>
      <c r="O616" t="s">
        <v>22</v>
      </c>
      <c r="P616">
        <v>10</v>
      </c>
      <c r="Q616">
        <v>5</v>
      </c>
    </row>
    <row r="617" spans="11:17" x14ac:dyDescent="0.3">
      <c r="K617" t="s">
        <v>28</v>
      </c>
      <c r="L617">
        <v>40.677213999999999</v>
      </c>
      <c r="M617">
        <v>22.939029000000001</v>
      </c>
      <c r="N617" t="s">
        <v>27</v>
      </c>
      <c r="O617" t="s">
        <v>22</v>
      </c>
      <c r="P617">
        <v>10</v>
      </c>
      <c r="Q617">
        <v>5</v>
      </c>
    </row>
    <row r="618" spans="11:17" x14ac:dyDescent="0.3">
      <c r="K618" t="s">
        <v>28</v>
      </c>
      <c r="L618">
        <v>40.677339000000003</v>
      </c>
      <c r="M618">
        <v>22.939094999999998</v>
      </c>
      <c r="N618" t="s">
        <v>27</v>
      </c>
      <c r="O618" t="s">
        <v>22</v>
      </c>
      <c r="P618">
        <v>10</v>
      </c>
      <c r="Q618">
        <v>5</v>
      </c>
    </row>
    <row r="619" spans="11:17" x14ac:dyDescent="0.3">
      <c r="K619" t="s">
        <v>28</v>
      </c>
      <c r="L619">
        <v>40.677430000000001</v>
      </c>
      <c r="M619">
        <v>22.939257000000001</v>
      </c>
      <c r="N619" t="s">
        <v>27</v>
      </c>
      <c r="O619" t="s">
        <v>22</v>
      </c>
      <c r="P619">
        <v>10</v>
      </c>
      <c r="Q619">
        <v>5</v>
      </c>
    </row>
    <row r="620" spans="11:17" x14ac:dyDescent="0.3">
      <c r="K620" t="s">
        <v>28</v>
      </c>
      <c r="L620">
        <v>40.677608999999997</v>
      </c>
      <c r="M620">
        <v>22.939952000000002</v>
      </c>
      <c r="N620" t="s">
        <v>27</v>
      </c>
      <c r="O620" t="s">
        <v>22</v>
      </c>
      <c r="P620">
        <v>10</v>
      </c>
      <c r="Q620">
        <v>5</v>
      </c>
    </row>
    <row r="621" spans="11:17" x14ac:dyDescent="0.3">
      <c r="K621" t="s">
        <v>28</v>
      </c>
      <c r="L621">
        <v>40.678035999999999</v>
      </c>
      <c r="M621">
        <v>22.94126</v>
      </c>
      <c r="N621" t="s">
        <v>27</v>
      </c>
      <c r="O621" t="s">
        <v>22</v>
      </c>
      <c r="P621">
        <v>10</v>
      </c>
      <c r="Q621">
        <v>5</v>
      </c>
    </row>
    <row r="622" spans="11:17" x14ac:dyDescent="0.3">
      <c r="K622" t="s">
        <v>28</v>
      </c>
      <c r="L622">
        <v>40.678362</v>
      </c>
      <c r="M622">
        <v>22.942038</v>
      </c>
      <c r="N622" t="s">
        <v>27</v>
      </c>
      <c r="O622" t="s">
        <v>22</v>
      </c>
      <c r="P622">
        <v>10</v>
      </c>
      <c r="Q622">
        <v>5</v>
      </c>
    </row>
    <row r="623" spans="11:17" x14ac:dyDescent="0.3">
      <c r="K623" t="s">
        <v>28</v>
      </c>
      <c r="L623">
        <v>40.678711</v>
      </c>
      <c r="M623">
        <v>22.942754000000001</v>
      </c>
      <c r="N623" t="s">
        <v>27</v>
      </c>
      <c r="O623" t="s">
        <v>22</v>
      </c>
      <c r="P623">
        <v>10</v>
      </c>
      <c r="Q623">
        <v>5</v>
      </c>
    </row>
    <row r="624" spans="11:17" x14ac:dyDescent="0.3">
      <c r="K624" t="s">
        <v>28</v>
      </c>
      <c r="L624">
        <v>40.678885999999999</v>
      </c>
      <c r="M624">
        <v>22.943048999999998</v>
      </c>
      <c r="N624" t="s">
        <v>27</v>
      </c>
      <c r="O624" t="s">
        <v>22</v>
      </c>
      <c r="P624">
        <v>10</v>
      </c>
      <c r="Q624">
        <v>5</v>
      </c>
    </row>
    <row r="625" spans="11:17" x14ac:dyDescent="0.3">
      <c r="K625" t="s">
        <v>28</v>
      </c>
      <c r="L625">
        <v>40.678924000000002</v>
      </c>
      <c r="M625">
        <v>22.943090000000002</v>
      </c>
      <c r="N625" t="s">
        <v>27</v>
      </c>
      <c r="O625" t="s">
        <v>22</v>
      </c>
      <c r="P625">
        <v>10</v>
      </c>
      <c r="Q625">
        <v>5</v>
      </c>
    </row>
    <row r="626" spans="11:17" x14ac:dyDescent="0.3">
      <c r="K626" t="s">
        <v>28</v>
      </c>
      <c r="L626">
        <v>40.679220999999998</v>
      </c>
      <c r="M626">
        <v>22.943677999999998</v>
      </c>
      <c r="N626" t="s">
        <v>27</v>
      </c>
      <c r="O626" t="s">
        <v>22</v>
      </c>
      <c r="P626">
        <v>10</v>
      </c>
      <c r="Q626">
        <v>5</v>
      </c>
    </row>
    <row r="627" spans="11:17" x14ac:dyDescent="0.3">
      <c r="K627" t="s">
        <v>28</v>
      </c>
      <c r="L627">
        <v>40.679502999999997</v>
      </c>
      <c r="M627">
        <v>22.944186999999999</v>
      </c>
      <c r="N627" t="s">
        <v>27</v>
      </c>
      <c r="O627" t="s">
        <v>22</v>
      </c>
      <c r="P627">
        <v>10</v>
      </c>
      <c r="Q627">
        <v>5</v>
      </c>
    </row>
    <row r="628" spans="11:17" x14ac:dyDescent="0.3">
      <c r="K628" t="s">
        <v>28</v>
      </c>
      <c r="L628">
        <v>40.679724999999998</v>
      </c>
      <c r="M628">
        <v>22.944789</v>
      </c>
      <c r="N628" t="s">
        <v>27</v>
      </c>
      <c r="O628" t="s">
        <v>22</v>
      </c>
      <c r="P628">
        <v>10</v>
      </c>
      <c r="Q628">
        <v>5</v>
      </c>
    </row>
    <row r="629" spans="11:17" x14ac:dyDescent="0.3">
      <c r="K629" t="s">
        <v>28</v>
      </c>
      <c r="L629">
        <v>40.679898999999999</v>
      </c>
      <c r="M629">
        <v>22.945376</v>
      </c>
      <c r="N629" t="s">
        <v>27</v>
      </c>
      <c r="O629" t="s">
        <v>22</v>
      </c>
      <c r="P629">
        <v>10</v>
      </c>
      <c r="Q629">
        <v>5</v>
      </c>
    </row>
    <row r="630" spans="11:17" x14ac:dyDescent="0.3">
      <c r="K630" t="s">
        <v>28</v>
      </c>
      <c r="L630">
        <v>40.679983999999997</v>
      </c>
      <c r="M630">
        <v>22.945712</v>
      </c>
      <c r="N630" t="s">
        <v>27</v>
      </c>
      <c r="O630" t="s">
        <v>22</v>
      </c>
      <c r="P630">
        <v>10</v>
      </c>
      <c r="Q630">
        <v>5</v>
      </c>
    </row>
    <row r="631" spans="11:17" x14ac:dyDescent="0.3">
      <c r="K631" t="s">
        <v>28</v>
      </c>
      <c r="L631">
        <v>40.680050999999999</v>
      </c>
      <c r="M631">
        <v>22.946079000000001</v>
      </c>
      <c r="N631" t="s">
        <v>27</v>
      </c>
      <c r="O631" t="s">
        <v>22</v>
      </c>
      <c r="P631">
        <v>10</v>
      </c>
      <c r="Q631">
        <v>5</v>
      </c>
    </row>
    <row r="632" spans="11:17" x14ac:dyDescent="0.3">
      <c r="K632" t="s">
        <v>28</v>
      </c>
      <c r="L632">
        <v>40.680101000000001</v>
      </c>
      <c r="M632">
        <v>22.946273000000001</v>
      </c>
      <c r="N632" t="s">
        <v>27</v>
      </c>
      <c r="O632" t="s">
        <v>22</v>
      </c>
      <c r="P632">
        <v>10</v>
      </c>
      <c r="Q632">
        <v>5</v>
      </c>
    </row>
    <row r="633" spans="11:17" x14ac:dyDescent="0.3">
      <c r="K633" t="s">
        <v>28</v>
      </c>
      <c r="L633">
        <v>40.680112000000001</v>
      </c>
      <c r="M633">
        <v>22.946525000000001</v>
      </c>
      <c r="N633" t="s">
        <v>27</v>
      </c>
      <c r="O633" t="s">
        <v>22</v>
      </c>
      <c r="P633">
        <v>10</v>
      </c>
      <c r="Q633">
        <v>5</v>
      </c>
    </row>
    <row r="634" spans="11:17" x14ac:dyDescent="0.3">
      <c r="K634" t="s">
        <v>28</v>
      </c>
      <c r="L634">
        <v>40.680056</v>
      </c>
      <c r="M634">
        <v>22.946625999999998</v>
      </c>
      <c r="N634" t="s">
        <v>27</v>
      </c>
      <c r="O634" t="s">
        <v>22</v>
      </c>
      <c r="P634">
        <v>10</v>
      </c>
      <c r="Q634">
        <v>5</v>
      </c>
    </row>
    <row r="635" spans="11:17" x14ac:dyDescent="0.3">
      <c r="K635" t="s">
        <v>28</v>
      </c>
      <c r="L635">
        <v>40.680036999999999</v>
      </c>
      <c r="M635">
        <v>22.946729000000001</v>
      </c>
      <c r="N635" t="s">
        <v>27</v>
      </c>
      <c r="O635" t="s">
        <v>22</v>
      </c>
      <c r="P635">
        <v>10</v>
      </c>
      <c r="Q635">
        <v>5</v>
      </c>
    </row>
    <row r="636" spans="11:17" x14ac:dyDescent="0.3">
      <c r="K636" t="s">
        <v>28</v>
      </c>
      <c r="L636">
        <v>40.680048999999997</v>
      </c>
      <c r="M636">
        <v>22.946849</v>
      </c>
      <c r="N636" t="s">
        <v>27</v>
      </c>
      <c r="O636" t="s">
        <v>22</v>
      </c>
      <c r="P636">
        <v>10</v>
      </c>
      <c r="Q636">
        <v>5</v>
      </c>
    </row>
    <row r="637" spans="11:17" x14ac:dyDescent="0.3">
      <c r="K637" t="s">
        <v>28</v>
      </c>
      <c r="L637">
        <v>40.680084999999998</v>
      </c>
      <c r="M637">
        <v>22.946935</v>
      </c>
      <c r="N637" t="s">
        <v>27</v>
      </c>
      <c r="O637" t="s">
        <v>22</v>
      </c>
      <c r="P637">
        <v>10</v>
      </c>
      <c r="Q637">
        <v>5</v>
      </c>
    </row>
    <row r="638" spans="11:17" x14ac:dyDescent="0.3">
      <c r="K638" t="s">
        <v>28</v>
      </c>
      <c r="L638">
        <v>40.680140999999999</v>
      </c>
      <c r="M638">
        <v>22.946999999999999</v>
      </c>
      <c r="N638" t="s">
        <v>27</v>
      </c>
      <c r="O638" t="s">
        <v>22</v>
      </c>
      <c r="P638">
        <v>10</v>
      </c>
      <c r="Q638">
        <v>5</v>
      </c>
    </row>
    <row r="639" spans="11:17" x14ac:dyDescent="0.3">
      <c r="K639" t="s">
        <v>28</v>
      </c>
      <c r="L639">
        <v>40.680208999999998</v>
      </c>
      <c r="M639">
        <v>22.947037999999999</v>
      </c>
      <c r="N639" t="s">
        <v>27</v>
      </c>
      <c r="O639" t="s">
        <v>22</v>
      </c>
      <c r="P639">
        <v>10</v>
      </c>
      <c r="Q639">
        <v>5</v>
      </c>
    </row>
    <row r="640" spans="11:17" x14ac:dyDescent="0.3">
      <c r="K640" t="s">
        <v>28</v>
      </c>
      <c r="L640">
        <v>40.680284</v>
      </c>
      <c r="M640">
        <v>22.947044999999999</v>
      </c>
      <c r="N640" t="s">
        <v>27</v>
      </c>
      <c r="O640" t="s">
        <v>22</v>
      </c>
      <c r="P640">
        <v>10</v>
      </c>
      <c r="Q640">
        <v>5</v>
      </c>
    </row>
    <row r="641" spans="11:17" x14ac:dyDescent="0.3">
      <c r="K641" t="s">
        <v>28</v>
      </c>
      <c r="L641">
        <v>40.680356000000003</v>
      </c>
      <c r="M641">
        <v>22.947019999999998</v>
      </c>
      <c r="N641" t="s">
        <v>27</v>
      </c>
      <c r="O641" t="s">
        <v>22</v>
      </c>
      <c r="P641">
        <v>10</v>
      </c>
      <c r="Q641">
        <v>5</v>
      </c>
    </row>
    <row r="642" spans="11:17" x14ac:dyDescent="0.3">
      <c r="K642" t="s">
        <v>28</v>
      </c>
      <c r="L642">
        <v>40.680416999999998</v>
      </c>
      <c r="M642">
        <v>22.946964999999999</v>
      </c>
      <c r="N642" t="s">
        <v>27</v>
      </c>
      <c r="O642" t="s">
        <v>22</v>
      </c>
      <c r="P642">
        <v>10</v>
      </c>
      <c r="Q642">
        <v>5</v>
      </c>
    </row>
    <row r="643" spans="11:17" x14ac:dyDescent="0.3">
      <c r="K643" t="s">
        <v>28</v>
      </c>
      <c r="L643">
        <v>40.680461999999999</v>
      </c>
      <c r="M643">
        <v>22.946887</v>
      </c>
      <c r="N643" t="s">
        <v>27</v>
      </c>
      <c r="O643" t="s">
        <v>22</v>
      </c>
      <c r="P643">
        <v>10</v>
      </c>
      <c r="Q643">
        <v>5</v>
      </c>
    </row>
    <row r="644" spans="11:17" x14ac:dyDescent="0.3">
      <c r="K644" t="s">
        <v>28</v>
      </c>
      <c r="L644">
        <v>40.680484999999997</v>
      </c>
      <c r="M644">
        <v>22.946793</v>
      </c>
      <c r="N644" t="s">
        <v>27</v>
      </c>
      <c r="O644" t="s">
        <v>22</v>
      </c>
      <c r="P644">
        <v>10</v>
      </c>
      <c r="Q644">
        <v>5</v>
      </c>
    </row>
    <row r="645" spans="11:17" x14ac:dyDescent="0.3">
      <c r="K645" t="s">
        <v>28</v>
      </c>
      <c r="L645">
        <v>40.680484</v>
      </c>
      <c r="M645">
        <v>22.946695999999999</v>
      </c>
      <c r="N645" t="s">
        <v>27</v>
      </c>
      <c r="O645" t="s">
        <v>22</v>
      </c>
      <c r="P645">
        <v>10</v>
      </c>
      <c r="Q645">
        <v>5</v>
      </c>
    </row>
    <row r="646" spans="11:17" x14ac:dyDescent="0.3">
      <c r="K646" t="s">
        <v>28</v>
      </c>
      <c r="L646">
        <v>40.680458999999999</v>
      </c>
      <c r="M646">
        <v>22.946603</v>
      </c>
      <c r="N646" t="s">
        <v>27</v>
      </c>
      <c r="O646" t="s">
        <v>22</v>
      </c>
      <c r="P646">
        <v>10</v>
      </c>
      <c r="Q646">
        <v>5</v>
      </c>
    </row>
    <row r="647" spans="11:17" x14ac:dyDescent="0.3">
      <c r="K647" t="s">
        <v>28</v>
      </c>
      <c r="L647">
        <v>40.680413000000001</v>
      </c>
      <c r="M647">
        <v>22.946527</v>
      </c>
      <c r="N647" t="s">
        <v>27</v>
      </c>
      <c r="O647" t="s">
        <v>22</v>
      </c>
      <c r="P647">
        <v>10</v>
      </c>
      <c r="Q647">
        <v>5</v>
      </c>
    </row>
    <row r="648" spans="11:17" x14ac:dyDescent="0.3">
      <c r="K648" t="s">
        <v>28</v>
      </c>
      <c r="L648">
        <v>40.680368000000001</v>
      </c>
      <c r="M648">
        <v>22.946375</v>
      </c>
      <c r="N648" t="s">
        <v>27</v>
      </c>
      <c r="O648" t="s">
        <v>22</v>
      </c>
      <c r="P648">
        <v>10</v>
      </c>
      <c r="Q648">
        <v>5</v>
      </c>
    </row>
    <row r="649" spans="11:17" x14ac:dyDescent="0.3">
      <c r="K649" t="s">
        <v>28</v>
      </c>
      <c r="L649">
        <v>40.680354000000001</v>
      </c>
      <c r="M649">
        <v>22.946273000000001</v>
      </c>
      <c r="N649" t="s">
        <v>27</v>
      </c>
      <c r="O649" t="s">
        <v>22</v>
      </c>
      <c r="P649">
        <v>10</v>
      </c>
      <c r="Q649">
        <v>5</v>
      </c>
    </row>
    <row r="650" spans="11:17" x14ac:dyDescent="0.3">
      <c r="K650" t="s">
        <v>28</v>
      </c>
      <c r="L650">
        <v>40.680216999999999</v>
      </c>
      <c r="M650">
        <v>22.945473</v>
      </c>
      <c r="N650" t="s">
        <v>27</v>
      </c>
      <c r="O650" t="s">
        <v>22</v>
      </c>
      <c r="P650">
        <v>10</v>
      </c>
      <c r="Q650">
        <v>5</v>
      </c>
    </row>
    <row r="651" spans="11:17" x14ac:dyDescent="0.3">
      <c r="K651" t="s">
        <v>28</v>
      </c>
      <c r="L651">
        <v>40.680031999999997</v>
      </c>
      <c r="M651">
        <v>22.94472</v>
      </c>
      <c r="N651" t="s">
        <v>27</v>
      </c>
      <c r="O651" t="s">
        <v>22</v>
      </c>
      <c r="P651">
        <v>10</v>
      </c>
      <c r="Q651">
        <v>5</v>
      </c>
    </row>
    <row r="652" spans="11:17" x14ac:dyDescent="0.3">
      <c r="K652" t="s">
        <v>28</v>
      </c>
      <c r="L652">
        <v>40.679971999999999</v>
      </c>
      <c r="M652">
        <v>22.944537</v>
      </c>
      <c r="N652" t="s">
        <v>27</v>
      </c>
      <c r="O652" t="s">
        <v>22</v>
      </c>
      <c r="P652">
        <v>10</v>
      </c>
      <c r="Q652">
        <v>5</v>
      </c>
    </row>
    <row r="653" spans="11:17" x14ac:dyDescent="0.3">
      <c r="K653" t="s">
        <v>28</v>
      </c>
      <c r="L653">
        <v>40.679853999999999</v>
      </c>
      <c r="M653">
        <v>22.944300999999999</v>
      </c>
      <c r="N653" t="s">
        <v>27</v>
      </c>
      <c r="O653" t="s">
        <v>22</v>
      </c>
      <c r="P653">
        <v>10</v>
      </c>
      <c r="Q653">
        <v>5</v>
      </c>
    </row>
    <row r="654" spans="11:17" x14ac:dyDescent="0.3">
      <c r="K654" t="s">
        <v>28</v>
      </c>
      <c r="L654">
        <v>40.679749000000001</v>
      </c>
      <c r="M654">
        <v>22.944137999999999</v>
      </c>
      <c r="N654" t="s">
        <v>27</v>
      </c>
      <c r="O654" t="s">
        <v>22</v>
      </c>
      <c r="P654">
        <v>10</v>
      </c>
      <c r="Q654">
        <v>5</v>
      </c>
    </row>
    <row r="655" spans="11:17" x14ac:dyDescent="0.3">
      <c r="K655" t="s">
        <v>28</v>
      </c>
      <c r="L655">
        <v>40.679419000000003</v>
      </c>
      <c r="M655">
        <v>22.943476</v>
      </c>
      <c r="N655" t="s">
        <v>27</v>
      </c>
      <c r="O655" t="s">
        <v>22</v>
      </c>
      <c r="P655">
        <v>10</v>
      </c>
      <c r="Q655">
        <v>5</v>
      </c>
    </row>
    <row r="656" spans="11:17" x14ac:dyDescent="0.3">
      <c r="K656" t="s">
        <v>28</v>
      </c>
      <c r="L656">
        <v>40.679203999999999</v>
      </c>
      <c r="M656">
        <v>22.943078</v>
      </c>
      <c r="N656" t="s">
        <v>27</v>
      </c>
      <c r="O656" t="s">
        <v>22</v>
      </c>
      <c r="P656">
        <v>10</v>
      </c>
      <c r="Q656">
        <v>5</v>
      </c>
    </row>
    <row r="657" spans="11:17" x14ac:dyDescent="0.3">
      <c r="K657" t="s">
        <v>28</v>
      </c>
      <c r="L657">
        <v>40.679045000000002</v>
      </c>
      <c r="M657">
        <v>22.942805</v>
      </c>
      <c r="N657" t="s">
        <v>27</v>
      </c>
      <c r="O657" t="s">
        <v>22</v>
      </c>
      <c r="P657">
        <v>10</v>
      </c>
      <c r="Q657">
        <v>5</v>
      </c>
    </row>
    <row r="658" spans="11:17" x14ac:dyDescent="0.3">
      <c r="K658" t="s">
        <v>28</v>
      </c>
      <c r="L658">
        <v>40.678851999999999</v>
      </c>
      <c r="M658">
        <v>22.942563</v>
      </c>
      <c r="N658" t="s">
        <v>27</v>
      </c>
      <c r="O658" t="s">
        <v>22</v>
      </c>
      <c r="P658">
        <v>10</v>
      </c>
      <c r="Q658">
        <v>5</v>
      </c>
    </row>
    <row r="659" spans="11:17" x14ac:dyDescent="0.3">
      <c r="K659" t="s">
        <v>28</v>
      </c>
      <c r="L659">
        <v>40.678753</v>
      </c>
      <c r="M659">
        <v>22.942364999999999</v>
      </c>
      <c r="N659" t="s">
        <v>27</v>
      </c>
      <c r="O659" t="s">
        <v>22</v>
      </c>
      <c r="P659">
        <v>10</v>
      </c>
      <c r="Q659">
        <v>5</v>
      </c>
    </row>
    <row r="660" spans="11:17" x14ac:dyDescent="0.3">
      <c r="K660" t="s">
        <v>28</v>
      </c>
      <c r="L660">
        <v>40.678187000000001</v>
      </c>
      <c r="M660">
        <v>22.941179000000002</v>
      </c>
      <c r="N660" t="s">
        <v>27</v>
      </c>
      <c r="O660" t="s">
        <v>22</v>
      </c>
      <c r="P660">
        <v>10</v>
      </c>
      <c r="Q660">
        <v>5</v>
      </c>
    </row>
    <row r="661" spans="11:17" x14ac:dyDescent="0.3">
      <c r="K661" t="s">
        <v>28</v>
      </c>
      <c r="L661">
        <v>40.677861999999998</v>
      </c>
      <c r="M661">
        <v>22.940339000000002</v>
      </c>
      <c r="N661" t="s">
        <v>27</v>
      </c>
      <c r="O661" t="s">
        <v>22</v>
      </c>
      <c r="P661">
        <v>10</v>
      </c>
      <c r="Q661">
        <v>5</v>
      </c>
    </row>
    <row r="662" spans="11:17" x14ac:dyDescent="0.3">
      <c r="K662" t="s">
        <v>28</v>
      </c>
      <c r="L662">
        <v>40.677697000000002</v>
      </c>
      <c r="M662">
        <v>22.939826</v>
      </c>
      <c r="N662" t="s">
        <v>27</v>
      </c>
      <c r="O662" t="s">
        <v>22</v>
      </c>
      <c r="P662">
        <v>10</v>
      </c>
      <c r="Q662">
        <v>5</v>
      </c>
    </row>
    <row r="663" spans="11:17" x14ac:dyDescent="0.3">
      <c r="K663" t="s">
        <v>28</v>
      </c>
      <c r="L663">
        <v>40.677579999999999</v>
      </c>
      <c r="M663">
        <v>22.939401</v>
      </c>
      <c r="N663" t="s">
        <v>27</v>
      </c>
      <c r="O663" t="s">
        <v>22</v>
      </c>
      <c r="P663">
        <v>10</v>
      </c>
      <c r="Q663">
        <v>5</v>
      </c>
    </row>
    <row r="664" spans="11:17" x14ac:dyDescent="0.3">
      <c r="K664" t="s">
        <v>28</v>
      </c>
      <c r="L664">
        <v>40.677411999999997</v>
      </c>
      <c r="M664">
        <v>22.938628999999999</v>
      </c>
      <c r="N664" t="s">
        <v>27</v>
      </c>
      <c r="O664" t="s">
        <v>22</v>
      </c>
      <c r="P664">
        <v>10</v>
      </c>
      <c r="Q664">
        <v>5</v>
      </c>
    </row>
  </sheetData>
  <sheetProtection algorithmName="SHA-512" hashValue="+S11zELsYF/QwNwjVJVIQ3Wi5JWYvBuAi4LAjiNDpZ6Hy5BpmamfW3jXqmx4xoXLzi67bAiLC0TJ8VlnNTVaOA==" saltValue="NJ84rOre+HewtOVwOLRgl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Solver">
                <anchor moveWithCells="1" sizeWithCells="1">
                  <from>
                    <xdr:col>4</xdr:col>
                    <xdr:colOff>205740</xdr:colOff>
                    <xdr:row>8</xdr:row>
                    <xdr:rowOff>160020</xdr:rowOff>
                  </from>
                  <to>
                    <xdr:col>7</xdr:col>
                    <xdr:colOff>106680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mportDatasets">
                <anchor moveWithCells="1" sizeWithCells="1">
                  <from>
                    <xdr:col>1</xdr:col>
                    <xdr:colOff>106680</xdr:colOff>
                    <xdr:row>8</xdr:row>
                    <xdr:rowOff>167640</xdr:rowOff>
                  </from>
                  <to>
                    <xdr:col>3</xdr:col>
                    <xdr:colOff>403860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B538-F819-451F-98F6-D96A033A308E}">
  <sheetPr codeName="Sheet3"/>
  <dimension ref="A1:Q21"/>
  <sheetViews>
    <sheetView workbookViewId="0">
      <selection activeCell="A24" sqref="A24"/>
    </sheetView>
  </sheetViews>
  <sheetFormatPr defaultRowHeight="14.4" x14ac:dyDescent="0.3"/>
  <cols>
    <col min="2" max="2" width="8.88671875" customWidth="1"/>
    <col min="14" max="14" width="11.5546875" customWidth="1"/>
  </cols>
  <sheetData>
    <row r="1" spans="1:17" x14ac:dyDescent="0.3">
      <c r="A1" s="1" t="s">
        <v>31</v>
      </c>
      <c r="B1" s="2"/>
      <c r="C1" s="2"/>
      <c r="D1" s="2"/>
      <c r="E1" s="2" t="s">
        <v>32</v>
      </c>
      <c r="F1" s="2"/>
      <c r="G1" s="2" t="s">
        <v>3</v>
      </c>
      <c r="H1" s="2" t="s">
        <v>33</v>
      </c>
      <c r="I1" s="2"/>
      <c r="J1" s="2" t="s">
        <v>34</v>
      </c>
      <c r="K1" s="2"/>
      <c r="L1" s="2" t="s">
        <v>35</v>
      </c>
      <c r="M1" s="2"/>
      <c r="N1" s="2" t="s">
        <v>36</v>
      </c>
      <c r="O1" s="2" t="s">
        <v>5</v>
      </c>
      <c r="P1" s="2" t="s">
        <v>6</v>
      </c>
      <c r="Q1" s="3" t="s">
        <v>27</v>
      </c>
    </row>
    <row r="2" spans="1:17" ht="15" x14ac:dyDescent="0.3">
      <c r="A2" s="8" t="s">
        <v>11</v>
      </c>
      <c r="B2" s="4">
        <v>20</v>
      </c>
      <c r="C2" s="6" t="s">
        <v>11</v>
      </c>
      <c r="D2" s="6">
        <v>1</v>
      </c>
      <c r="E2" s="6" t="s">
        <v>19</v>
      </c>
      <c r="F2" s="6">
        <f>B2+B4+B6+B8+B10+B12</f>
        <v>90</v>
      </c>
      <c r="G2" s="6">
        <f>Datasets!D2</f>
        <v>100</v>
      </c>
      <c r="H2" s="6">
        <f>Datasets!$K$2</f>
        <v>20</v>
      </c>
      <c r="I2" s="6"/>
      <c r="J2" s="6">
        <f>D2*Datasets!$H$2</f>
        <v>40</v>
      </c>
      <c r="K2" s="6"/>
      <c r="L2" s="6">
        <f>B2*Datasets!L2+Model!B3*Datasets!L3+Model!B4*Datasets!M2+Model!B5*Datasets!M3+Model!B6*Datasets!L2+Model!B7*Datasets!L3+Model!B8*Datasets!M2+Model!B9*Datasets!M3+Model!B10*Datasets!N2+Model!B11*Datasets!N3+Model!B12*Datasets!N2+Model!B13*Datasets!N3</f>
        <v>1050</v>
      </c>
      <c r="M2" s="6"/>
      <c r="N2" s="6" t="s">
        <v>19</v>
      </c>
      <c r="O2" s="6">
        <f>Datasets!O2</f>
        <v>0.23852777777777778</v>
      </c>
      <c r="P2" s="6">
        <f>Datasets!P2</f>
        <v>0.11791666666666667</v>
      </c>
      <c r="Q2" s="9">
        <f>Datasets!Q2</f>
        <v>0.10013888888888889</v>
      </c>
    </row>
    <row r="3" spans="1:17" x14ac:dyDescent="0.3">
      <c r="A3" s="8" t="s">
        <v>13</v>
      </c>
      <c r="B3" s="6">
        <v>0</v>
      </c>
      <c r="C3" s="6" t="s">
        <v>13</v>
      </c>
      <c r="D3" s="6">
        <v>0</v>
      </c>
      <c r="E3" s="6" t="s">
        <v>20</v>
      </c>
      <c r="F3" s="6">
        <f>B3+B5+B7+B9+B11+B13</f>
        <v>0</v>
      </c>
      <c r="G3" s="6">
        <f>Datasets!D3</f>
        <v>100</v>
      </c>
      <c r="H3" s="6">
        <f>Datasets!$K$2</f>
        <v>20</v>
      </c>
      <c r="I3" s="6"/>
      <c r="J3" s="6">
        <f>D3*Datasets!$H$2</f>
        <v>0</v>
      </c>
      <c r="K3" s="6"/>
      <c r="L3" s="6"/>
      <c r="M3" s="6"/>
      <c r="N3" s="6" t="s">
        <v>20</v>
      </c>
      <c r="O3" s="6">
        <f>Datasets!O3</f>
        <v>0.17974999999999999</v>
      </c>
      <c r="P3" s="6">
        <f>Datasets!P3</f>
        <v>0.30083333333333334</v>
      </c>
      <c r="Q3" s="9">
        <f>Datasets!Q3</f>
        <v>0.35558333333333331</v>
      </c>
    </row>
    <row r="4" spans="1:17" x14ac:dyDescent="0.3">
      <c r="A4" s="8" t="s">
        <v>14</v>
      </c>
      <c r="B4" s="6">
        <v>20</v>
      </c>
      <c r="C4" s="6" t="s">
        <v>14</v>
      </c>
      <c r="D4" s="6">
        <v>1</v>
      </c>
      <c r="E4" s="6"/>
      <c r="F4" s="6"/>
      <c r="G4" s="6" t="s">
        <v>4</v>
      </c>
      <c r="H4" s="6">
        <f>Datasets!$K$2</f>
        <v>20</v>
      </c>
      <c r="I4" s="6"/>
      <c r="J4" s="6">
        <f>D4*Datasets!$H$3</f>
        <v>20</v>
      </c>
      <c r="K4" s="6"/>
      <c r="L4" s="6"/>
      <c r="M4" s="6"/>
      <c r="N4" s="6"/>
      <c r="O4" s="6"/>
      <c r="P4" s="6"/>
      <c r="Q4" s="9"/>
    </row>
    <row r="5" spans="1:17" x14ac:dyDescent="0.3">
      <c r="A5" s="8" t="s">
        <v>15</v>
      </c>
      <c r="B5" s="6">
        <v>0</v>
      </c>
      <c r="C5" s="6" t="s">
        <v>15</v>
      </c>
      <c r="D5" s="6">
        <v>0</v>
      </c>
      <c r="E5" s="6" t="s">
        <v>5</v>
      </c>
      <c r="F5" s="6">
        <f>B2+B3+B6+B7</f>
        <v>40</v>
      </c>
      <c r="G5" s="6">
        <f>Datasets!H2</f>
        <v>40</v>
      </c>
      <c r="H5" s="6">
        <f>Datasets!$K$2</f>
        <v>20</v>
      </c>
      <c r="I5" s="6"/>
      <c r="J5" s="6">
        <f>D5*Datasets!$H$3</f>
        <v>0</v>
      </c>
      <c r="K5" s="6"/>
      <c r="L5" s="6"/>
      <c r="M5" s="6"/>
      <c r="N5" s="6"/>
      <c r="O5" s="6"/>
      <c r="P5" s="6"/>
      <c r="Q5" s="9"/>
    </row>
    <row r="6" spans="1:17" ht="15" x14ac:dyDescent="0.3">
      <c r="A6" s="8" t="s">
        <v>12</v>
      </c>
      <c r="B6" s="4">
        <v>20</v>
      </c>
      <c r="C6" s="6" t="s">
        <v>12</v>
      </c>
      <c r="D6" s="6">
        <v>1</v>
      </c>
      <c r="E6" s="6" t="s">
        <v>6</v>
      </c>
      <c r="F6" s="6">
        <f>B4+B5+B8+B9</f>
        <v>20</v>
      </c>
      <c r="G6" s="6">
        <f>Datasets!H3</f>
        <v>20</v>
      </c>
      <c r="H6" s="6">
        <f>Datasets!$K$3</f>
        <v>20</v>
      </c>
      <c r="I6" s="6"/>
      <c r="J6" s="6">
        <f>D6*Datasets!$H$2</f>
        <v>40</v>
      </c>
      <c r="K6" s="6"/>
      <c r="L6" s="6"/>
      <c r="M6" s="6"/>
      <c r="N6" s="6"/>
      <c r="O6" s="6"/>
      <c r="P6" s="6"/>
      <c r="Q6" s="9"/>
    </row>
    <row r="7" spans="1:17" ht="15" x14ac:dyDescent="0.3">
      <c r="A7" s="8" t="s">
        <v>17</v>
      </c>
      <c r="B7" s="4">
        <v>0</v>
      </c>
      <c r="C7" s="6" t="s">
        <v>17</v>
      </c>
      <c r="D7" s="6">
        <v>0</v>
      </c>
      <c r="E7" s="6" t="s">
        <v>27</v>
      </c>
      <c r="F7" s="6">
        <f>SUM(B10:B13)</f>
        <v>30</v>
      </c>
      <c r="G7" s="6">
        <f>Datasets!H4</f>
        <v>30</v>
      </c>
      <c r="H7" s="6">
        <f>Datasets!$K$3</f>
        <v>20</v>
      </c>
      <c r="I7" s="6"/>
      <c r="J7" s="6">
        <f>D7*Datasets!$H$2</f>
        <v>0</v>
      </c>
      <c r="K7" s="6"/>
      <c r="L7" s="6"/>
      <c r="M7" s="6"/>
      <c r="N7" s="6"/>
      <c r="O7" s="6"/>
      <c r="P7" s="6"/>
      <c r="Q7" s="9"/>
    </row>
    <row r="8" spans="1:17" x14ac:dyDescent="0.3">
      <c r="A8" s="8" t="s">
        <v>18</v>
      </c>
      <c r="B8" s="6">
        <v>0</v>
      </c>
      <c r="C8" s="6" t="s">
        <v>18</v>
      </c>
      <c r="D8" s="6">
        <v>0</v>
      </c>
      <c r="E8" s="6"/>
      <c r="F8" s="6"/>
      <c r="G8" s="6" t="s">
        <v>37</v>
      </c>
      <c r="H8" s="6">
        <f>Datasets!$K$3</f>
        <v>20</v>
      </c>
      <c r="I8" s="6"/>
      <c r="J8" s="6">
        <f>D8*Datasets!$H$3</f>
        <v>0</v>
      </c>
      <c r="K8" s="6"/>
      <c r="L8" s="6"/>
      <c r="M8" s="6"/>
      <c r="N8" s="6"/>
      <c r="O8" s="6"/>
      <c r="P8" s="6"/>
      <c r="Q8" s="9"/>
    </row>
    <row r="9" spans="1:17" x14ac:dyDescent="0.3">
      <c r="A9" s="8" t="s">
        <v>16</v>
      </c>
      <c r="B9" s="6">
        <v>0</v>
      </c>
      <c r="C9" s="6" t="s">
        <v>16</v>
      </c>
      <c r="D9" s="6">
        <v>0</v>
      </c>
      <c r="E9" s="6" t="s">
        <v>21</v>
      </c>
      <c r="F9" s="6">
        <f>D2*O2+D3*O3+D4*P2+D5*P3+D10*Q2+D11*Q3</f>
        <v>0.45658333333333334</v>
      </c>
      <c r="G9" s="6">
        <f>Datasets!J2</f>
        <v>8</v>
      </c>
      <c r="H9" s="6">
        <f>Datasets!$K$3</f>
        <v>20</v>
      </c>
      <c r="I9" s="6"/>
      <c r="J9" s="6">
        <f>D9*Datasets!$H$3</f>
        <v>0</v>
      </c>
      <c r="K9" s="6"/>
      <c r="L9" s="6"/>
      <c r="M9" s="6"/>
      <c r="N9" s="6"/>
      <c r="O9" s="6"/>
      <c r="P9" s="6"/>
      <c r="Q9" s="9"/>
    </row>
    <row r="10" spans="1:17" ht="15" x14ac:dyDescent="0.3">
      <c r="A10" s="5" t="s">
        <v>23</v>
      </c>
      <c r="B10" s="6">
        <v>20</v>
      </c>
      <c r="C10" s="4" t="s">
        <v>23</v>
      </c>
      <c r="D10" s="6">
        <v>1</v>
      </c>
      <c r="E10" s="6" t="s">
        <v>22</v>
      </c>
      <c r="F10" s="6">
        <f>D6*O2+D7*O3+D8*P2+D9*P3+D12*Q2+D13*Q3</f>
        <v>0.33866666666666667</v>
      </c>
      <c r="G10" s="6">
        <f>Datasets!J3</f>
        <v>8</v>
      </c>
      <c r="H10" s="6">
        <f>Datasets!$K$2</f>
        <v>20</v>
      </c>
      <c r="I10" s="6"/>
      <c r="J10" s="6">
        <f>D10*Datasets!$H$4</f>
        <v>30</v>
      </c>
      <c r="K10" s="6"/>
      <c r="L10" s="6"/>
      <c r="M10" s="6"/>
      <c r="N10" s="6"/>
      <c r="O10" s="6"/>
      <c r="P10" s="6"/>
      <c r="Q10" s="9"/>
    </row>
    <row r="11" spans="1:17" x14ac:dyDescent="0.3">
      <c r="A11" s="8" t="s">
        <v>24</v>
      </c>
      <c r="B11" s="6">
        <v>0</v>
      </c>
      <c r="C11" s="6" t="s">
        <v>24</v>
      </c>
      <c r="D11" s="6">
        <v>0</v>
      </c>
      <c r="E11" s="6"/>
      <c r="F11" s="6"/>
      <c r="G11" s="6"/>
      <c r="H11" s="6">
        <f>Datasets!$K$2</f>
        <v>20</v>
      </c>
      <c r="I11" s="6"/>
      <c r="J11" s="6">
        <f>D11*Datasets!$H$4</f>
        <v>0</v>
      </c>
      <c r="K11" s="6"/>
      <c r="L11" s="6"/>
      <c r="M11" s="6"/>
      <c r="N11" s="6"/>
      <c r="O11" s="6"/>
      <c r="P11" s="6"/>
      <c r="Q11" s="9"/>
    </row>
    <row r="12" spans="1:17" x14ac:dyDescent="0.3">
      <c r="A12" s="8" t="s">
        <v>25</v>
      </c>
      <c r="B12" s="6">
        <v>10</v>
      </c>
      <c r="C12" s="6" t="s">
        <v>25</v>
      </c>
      <c r="D12" s="6">
        <v>1</v>
      </c>
      <c r="E12" s="6"/>
      <c r="F12" s="6"/>
      <c r="G12" s="6"/>
      <c r="H12" s="6">
        <f>Datasets!$K$3</f>
        <v>20</v>
      </c>
      <c r="I12" s="6"/>
      <c r="J12" s="6">
        <f>D12*Datasets!$H$4</f>
        <v>30</v>
      </c>
      <c r="K12" s="6"/>
      <c r="L12" s="6"/>
      <c r="M12" s="6"/>
      <c r="N12" s="6"/>
      <c r="O12" s="6"/>
      <c r="P12" s="6"/>
      <c r="Q12" s="9"/>
    </row>
    <row r="13" spans="1:17" ht="15" thickBot="1" x14ac:dyDescent="0.35">
      <c r="A13" s="10" t="s">
        <v>26</v>
      </c>
      <c r="B13" s="7">
        <v>0</v>
      </c>
      <c r="C13" s="7" t="s">
        <v>26</v>
      </c>
      <c r="D13" s="7">
        <v>0</v>
      </c>
      <c r="E13" s="7"/>
      <c r="F13" s="7"/>
      <c r="G13" s="7"/>
      <c r="H13" s="7">
        <f>Datasets!$K$3</f>
        <v>20</v>
      </c>
      <c r="I13" s="7"/>
      <c r="J13" s="7">
        <f>D13*Datasets!$H$4</f>
        <v>0</v>
      </c>
      <c r="K13" s="7"/>
      <c r="L13" s="7"/>
      <c r="M13" s="7"/>
      <c r="N13" s="7"/>
      <c r="O13" s="7"/>
      <c r="P13" s="7"/>
      <c r="Q13" s="11"/>
    </row>
    <row r="16" spans="1:17" x14ac:dyDescent="0.3">
      <c r="A16" s="12" t="s">
        <v>38</v>
      </c>
    </row>
    <row r="17" spans="1:2" x14ac:dyDescent="0.3">
      <c r="A17" t="str" cm="1">
        <f t="array" ref="A17:B21">_xlfn._xlws.FILTER(A2:B13,B2:B13&lt;&gt;0,"")</f>
        <v>s1c1d1</v>
      </c>
      <c r="B17">
        <v>20</v>
      </c>
    </row>
    <row r="18" spans="1:2" x14ac:dyDescent="0.3">
      <c r="A18" t="str">
        <v>s1c2d1</v>
      </c>
      <c r="B18">
        <v>20</v>
      </c>
    </row>
    <row r="19" spans="1:2" x14ac:dyDescent="0.3">
      <c r="A19" t="str">
        <v>s1c1d2</v>
      </c>
      <c r="B19">
        <v>20</v>
      </c>
    </row>
    <row r="20" spans="1:2" x14ac:dyDescent="0.3">
      <c r="A20" t="str">
        <v>s1c3d1</v>
      </c>
      <c r="B20">
        <v>20</v>
      </c>
    </row>
    <row r="21" spans="1:2" x14ac:dyDescent="0.3">
      <c r="A21" t="str">
        <v>s1c3d2</v>
      </c>
      <c r="B21">
        <v>10</v>
      </c>
    </row>
  </sheetData>
  <sheetProtection algorithmName="SHA-512" hashValue="HxzLDvn+OX316WdTKeMcQRwHiEcIc+HXbt31VT02nD01C81ZqYwx1/SmOJDmHD1ku+ypksmt2e6nt9WEOztp/A==" saltValue="IT0oGSpyolc1dX3zjlhfv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6D21-D161-4116-AE91-C1ADC00BD4ED}">
  <sheetPr codeName="Sheet2"/>
  <dimension ref="A1:Q4"/>
  <sheetViews>
    <sheetView workbookViewId="0">
      <selection activeCell="H5" sqref="H5"/>
    </sheetView>
  </sheetViews>
  <sheetFormatPr defaultRowHeight="14.4" x14ac:dyDescent="0.3"/>
  <cols>
    <col min="1" max="1" width="8.5546875" bestFit="1" customWidth="1"/>
    <col min="2" max="3" width="12" bestFit="1" customWidth="1"/>
    <col min="4" max="4" width="6.21875" bestFit="1" customWidth="1"/>
    <col min="5" max="5" width="7.88671875" bestFit="1" customWidth="1"/>
    <col min="6" max="7" width="12" bestFit="1" customWidth="1"/>
    <col min="8" max="8" width="7.77734375" bestFit="1" customWidth="1"/>
    <col min="9" max="9" width="6.77734375" bestFit="1" customWidth="1"/>
    <col min="10" max="10" width="12.77734375" bestFit="1" customWidth="1"/>
    <col min="11" max="11" width="13.88671875" bestFit="1" customWidth="1"/>
    <col min="12" max="14" width="6.44140625" bestFit="1" customWidth="1"/>
    <col min="15" max="15" width="12" bestFit="1" customWidth="1"/>
    <col min="16" max="16" width="6.21875" bestFit="1" customWidth="1"/>
    <col min="17" max="17" width="8.5546875" bestFit="1" customWidth="1"/>
    <col min="18" max="19" width="12" bestFit="1" customWidth="1"/>
    <col min="20" max="20" width="6.21875" bestFit="1" customWidth="1"/>
    <col min="21" max="21" width="7.88671875" bestFit="1" customWidth="1"/>
    <col min="22" max="23" width="12" bestFit="1" customWidth="1"/>
    <col min="24" max="24" width="7.77734375" bestFit="1" customWidth="1"/>
    <col min="25" max="25" width="8.5546875" bestFit="1" customWidth="1"/>
    <col min="26" max="27" width="12" bestFit="1" customWidth="1"/>
    <col min="28" max="28" width="6.21875" bestFit="1" customWidth="1"/>
    <col min="29" max="29" width="7.88671875" bestFit="1" customWidth="1"/>
    <col min="30" max="31" width="12" bestFit="1" customWidth="1"/>
    <col min="32" max="32" width="7.77734375" bestFit="1" customWidth="1"/>
    <col min="33" max="33" width="8.5546875" bestFit="1" customWidth="1"/>
    <col min="34" max="35" width="12" bestFit="1" customWidth="1"/>
    <col min="36" max="36" width="6.21875" bestFit="1" customWidth="1"/>
    <col min="37" max="37" width="7.88671875" bestFit="1" customWidth="1"/>
    <col min="38" max="39" width="12" bestFit="1" customWidth="1"/>
    <col min="40" max="40" width="7.77734375" bestFit="1" customWidth="1"/>
    <col min="41" max="41" width="6.77734375" bestFit="1" customWidth="1"/>
    <col min="42" max="42" width="12.77734375" bestFit="1" customWidth="1"/>
    <col min="43" max="43" width="13.88671875" bestFit="1" customWidth="1"/>
    <col min="44" max="46" width="6.44140625" bestFit="1" customWidth="1"/>
    <col min="47" max="47" width="13.88671875" bestFit="1" customWidth="1"/>
    <col min="48" max="50" width="6.44140625" bestFit="1" customWidth="1"/>
    <col min="51" max="51" width="8.5546875" bestFit="1" customWidth="1"/>
    <col min="52" max="53" width="12" bestFit="1" customWidth="1"/>
    <col min="54" max="54" width="6.21875" bestFit="1" customWidth="1"/>
    <col min="55" max="55" width="7.88671875" bestFit="1" customWidth="1"/>
    <col min="56" max="57" width="12" bestFit="1" customWidth="1"/>
    <col min="58" max="58" width="7.77734375" bestFit="1" customWidth="1"/>
    <col min="59" max="59" width="12" customWidth="1"/>
    <col min="68" max="68" width="15.44140625" customWidth="1"/>
    <col min="69" max="69" width="15.5546875" customWidth="1"/>
  </cols>
  <sheetData>
    <row r="1" spans="1:17" x14ac:dyDescent="0.3">
      <c r="A1" t="s">
        <v>2</v>
      </c>
      <c r="B1" t="s">
        <v>0</v>
      </c>
      <c r="C1" t="s">
        <v>1</v>
      </c>
      <c r="D1" t="s">
        <v>3</v>
      </c>
      <c r="E1" t="s">
        <v>2</v>
      </c>
      <c r="F1" t="s">
        <v>0</v>
      </c>
      <c r="G1" t="s">
        <v>1</v>
      </c>
      <c r="H1" t="s">
        <v>4</v>
      </c>
      <c r="I1" t="s">
        <v>30</v>
      </c>
      <c r="J1" t="s">
        <v>7</v>
      </c>
      <c r="K1" t="s">
        <v>8</v>
      </c>
      <c r="L1" t="s">
        <v>5</v>
      </c>
      <c r="M1" t="s">
        <v>6</v>
      </c>
      <c r="N1" t="s">
        <v>27</v>
      </c>
    </row>
    <row r="2" spans="1:17" x14ac:dyDescent="0.3">
      <c r="A2" t="s">
        <v>28</v>
      </c>
      <c r="B2">
        <v>40.669042061302299</v>
      </c>
      <c r="C2">
        <v>22.935254409686799</v>
      </c>
      <c r="D2">
        <v>100</v>
      </c>
      <c r="E2" t="s">
        <v>5</v>
      </c>
      <c r="F2">
        <v>40.692996332357197</v>
      </c>
      <c r="G2">
        <v>22.8494452567924</v>
      </c>
      <c r="H2">
        <v>40</v>
      </c>
      <c r="I2" t="s">
        <v>9</v>
      </c>
      <c r="J2">
        <v>8</v>
      </c>
      <c r="K2">
        <v>20</v>
      </c>
      <c r="L2">
        <v>10</v>
      </c>
      <c r="M2">
        <v>10</v>
      </c>
      <c r="N2">
        <v>15</v>
      </c>
      <c r="O2">
        <v>0.23852777777777778</v>
      </c>
      <c r="P2">
        <v>0.11791666666666667</v>
      </c>
      <c r="Q2">
        <v>0.10013888888888889</v>
      </c>
    </row>
    <row r="3" spans="1:17" x14ac:dyDescent="0.3">
      <c r="A3" t="s">
        <v>29</v>
      </c>
      <c r="B3">
        <v>40.681356340407397</v>
      </c>
      <c r="C3">
        <v>22.7896412173417</v>
      </c>
      <c r="D3">
        <v>100</v>
      </c>
      <c r="E3" t="s">
        <v>6</v>
      </c>
      <c r="F3">
        <v>40.678164555406397</v>
      </c>
      <c r="G3">
        <v>22.9015611327413</v>
      </c>
      <c r="H3">
        <v>20</v>
      </c>
      <c r="I3" t="s">
        <v>10</v>
      </c>
      <c r="J3">
        <v>8</v>
      </c>
      <c r="K3">
        <v>20</v>
      </c>
      <c r="L3">
        <v>25</v>
      </c>
      <c r="M3">
        <v>10</v>
      </c>
      <c r="N3">
        <v>20</v>
      </c>
      <c r="O3">
        <v>0.17974999999999999</v>
      </c>
      <c r="P3">
        <v>0.30083333333333334</v>
      </c>
      <c r="Q3">
        <v>0.35558333333333331</v>
      </c>
    </row>
    <row r="4" spans="1:17" x14ac:dyDescent="0.3">
      <c r="E4" t="s">
        <v>27</v>
      </c>
      <c r="F4">
        <v>40.677383440594703</v>
      </c>
      <c r="G4">
        <v>22.9386399901631</v>
      </c>
      <c r="H4">
        <v>30</v>
      </c>
    </row>
  </sheetData>
  <sheetProtection algorithmName="SHA-512" hashValue="2sBC49hBMWBmDORUk0ZRN6X/0XLSnsEoa0bYtVf9OX/ANclmB8pzXqhnCcDIWoV2qoWutNZ0KUy6SLAOE+3Kug==" saltValue="adnhjR65TOogGfnpbXIXb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4B02A-07D8-4DB2-9227-753D4FBF5A93}">
  <sheetPr codeName="Sheet5"/>
  <dimension ref="A1:K13"/>
  <sheetViews>
    <sheetView workbookViewId="0">
      <selection activeCell="K11" sqref="K11"/>
    </sheetView>
  </sheetViews>
  <sheetFormatPr defaultRowHeight="14.4" x14ac:dyDescent="0.3"/>
  <cols>
    <col min="1" max="1" width="12.109375" customWidth="1"/>
    <col min="3" max="3" width="11.77734375" customWidth="1"/>
  </cols>
  <sheetData>
    <row r="1" spans="1:11" x14ac:dyDescent="0.3">
      <c r="A1" t="s">
        <v>46</v>
      </c>
      <c r="C1" t="s">
        <v>47</v>
      </c>
      <c r="E1" t="s">
        <v>48</v>
      </c>
      <c r="I1" t="s">
        <v>55</v>
      </c>
      <c r="J1" t="s">
        <v>57</v>
      </c>
    </row>
    <row r="2" spans="1:11" x14ac:dyDescent="0.3">
      <c r="A2" t="s">
        <v>28</v>
      </c>
      <c r="B2" t="s">
        <v>39</v>
      </c>
      <c r="C2" t="s">
        <v>5</v>
      </c>
      <c r="D2" t="s">
        <v>42</v>
      </c>
      <c r="E2" t="s">
        <v>21</v>
      </c>
      <c r="F2" t="s">
        <v>44</v>
      </c>
      <c r="I2" s="8" t="s">
        <v>11</v>
      </c>
      <c r="J2">
        <v>1</v>
      </c>
      <c r="K2">
        <v>1</v>
      </c>
    </row>
    <row r="3" spans="1:11" x14ac:dyDescent="0.3">
      <c r="A3" t="s">
        <v>29</v>
      </c>
      <c r="B3" t="s">
        <v>40</v>
      </c>
      <c r="C3" t="s">
        <v>6</v>
      </c>
      <c r="D3" t="s">
        <v>41</v>
      </c>
      <c r="E3" t="s">
        <v>22</v>
      </c>
      <c r="F3" t="s">
        <v>45</v>
      </c>
      <c r="I3" s="8" t="s">
        <v>13</v>
      </c>
      <c r="J3">
        <v>2</v>
      </c>
      <c r="K3">
        <v>2</v>
      </c>
    </row>
    <row r="4" spans="1:11" x14ac:dyDescent="0.3">
      <c r="C4" t="s">
        <v>27</v>
      </c>
      <c r="D4" t="s">
        <v>43</v>
      </c>
      <c r="I4" s="8" t="s">
        <v>14</v>
      </c>
      <c r="J4">
        <v>3</v>
      </c>
      <c r="K4">
        <v>3</v>
      </c>
    </row>
    <row r="5" spans="1:11" x14ac:dyDescent="0.3">
      <c r="I5" s="8" t="s">
        <v>15</v>
      </c>
      <c r="J5">
        <v>4</v>
      </c>
      <c r="K5">
        <v>4</v>
      </c>
    </row>
    <row r="6" spans="1:11" x14ac:dyDescent="0.3">
      <c r="I6" s="8" t="s">
        <v>12</v>
      </c>
      <c r="J6">
        <v>1</v>
      </c>
      <c r="K6">
        <v>5</v>
      </c>
    </row>
    <row r="7" spans="1:11" x14ac:dyDescent="0.3">
      <c r="I7" s="8" t="s">
        <v>17</v>
      </c>
      <c r="J7">
        <v>2</v>
      </c>
      <c r="K7">
        <v>6</v>
      </c>
    </row>
    <row r="8" spans="1:11" x14ac:dyDescent="0.3">
      <c r="I8" s="8" t="s">
        <v>18</v>
      </c>
      <c r="J8">
        <v>3</v>
      </c>
      <c r="K8">
        <v>7</v>
      </c>
    </row>
    <row r="9" spans="1:11" x14ac:dyDescent="0.3">
      <c r="I9" s="8" t="s">
        <v>16</v>
      </c>
      <c r="J9">
        <v>4</v>
      </c>
      <c r="K9">
        <v>8</v>
      </c>
    </row>
    <row r="10" spans="1:11" ht="15" x14ac:dyDescent="0.3">
      <c r="I10" s="5" t="s">
        <v>23</v>
      </c>
      <c r="J10">
        <v>5</v>
      </c>
      <c r="K10">
        <v>9</v>
      </c>
    </row>
    <row r="11" spans="1:11" x14ac:dyDescent="0.3">
      <c r="I11" s="8" t="s">
        <v>24</v>
      </c>
      <c r="J11">
        <v>6</v>
      </c>
      <c r="K11">
        <v>10</v>
      </c>
    </row>
    <row r="12" spans="1:11" x14ac:dyDescent="0.3">
      <c r="I12" s="8" t="s">
        <v>25</v>
      </c>
      <c r="J12">
        <v>5</v>
      </c>
      <c r="K12">
        <v>11</v>
      </c>
    </row>
    <row r="13" spans="1:11" ht="15" thickBot="1" x14ac:dyDescent="0.35">
      <c r="I13" s="10" t="s">
        <v>26</v>
      </c>
      <c r="J13">
        <v>6</v>
      </c>
      <c r="K13">
        <v>12</v>
      </c>
    </row>
  </sheetData>
  <sheetProtection algorithmName="SHA-512" hashValue="XsuQYkvl2MqUGK6k0EogMFW2qxc+BTY/uOa/NBhJ28KcaHKLAYfzgFJEoULfzNfZzURZBwPC9BSegZXCc65BZA==" saltValue="xEbvodq8R528S+uOOGO1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A549D4F-2D5F-4B6F-AFA5-7BA424E2368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C1A9010-8874-400D-A44D-2AC1E52AB69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8904F77-32A4-4E24-A10F-6749A022B82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064269B-D655-4694-80C9-EC5DB15C935C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Application</vt:lpstr>
      <vt:lpstr>Model</vt:lpstr>
      <vt:lpstr>Datasets</vt:lpstr>
      <vt:lpstr>Extra Information</vt:lpstr>
      <vt:lpstr>Datasets!ExternalData_1</vt:lpstr>
      <vt:lpstr>Datasets!ExternalData_10</vt:lpstr>
      <vt:lpstr>Datasets!ExternalData_11</vt:lpstr>
      <vt:lpstr>Datasets!ExternalData_12</vt:lpstr>
      <vt:lpstr>Datasets!ExternalData_13</vt:lpstr>
      <vt:lpstr>Datasets!ExternalData_14</vt:lpstr>
      <vt:lpstr>Datasets!ExternalData_15</vt:lpstr>
      <vt:lpstr>Datasets!ExternalData_16</vt:lpstr>
      <vt:lpstr>Datasets!ExternalData_17</vt:lpstr>
      <vt:lpstr>Datasets!ExternalData_18</vt:lpstr>
      <vt:lpstr>Datasets!ExternalData_19</vt:lpstr>
      <vt:lpstr>Datasets!ExternalData_2</vt:lpstr>
      <vt:lpstr>Datasets!ExternalData_20</vt:lpstr>
      <vt:lpstr>Datasets!ExternalData_21</vt:lpstr>
      <vt:lpstr>Datasets!ExternalData_22</vt:lpstr>
      <vt:lpstr>Datasets!ExternalData_23</vt:lpstr>
      <vt:lpstr>Datasets!ExternalData_3</vt:lpstr>
      <vt:lpstr>Datasets!ExternalData_4</vt:lpstr>
      <vt:lpstr>Datasets!ExternalData_5</vt:lpstr>
      <vt:lpstr>Datasets!ExternalData_6</vt:lpstr>
      <vt:lpstr>Datasets!ExternalData_7</vt:lpstr>
      <vt:lpstr>Datasets!ExternalData_8</vt:lpstr>
      <vt:lpstr>Datasets!ExternalData_9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χρηστος Γαλανης</dc:creator>
  <cp:lastModifiedBy>χρηστος Γαλανης</cp:lastModifiedBy>
  <dcterms:created xsi:type="dcterms:W3CDTF">2025-02-13T10:54:52Z</dcterms:created>
  <dcterms:modified xsi:type="dcterms:W3CDTF">2025-02-17T07:18:38Z</dcterms:modified>
</cp:coreProperties>
</file>